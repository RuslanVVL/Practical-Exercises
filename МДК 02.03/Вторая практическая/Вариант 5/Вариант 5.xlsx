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МДК 02.03\Вторая практическая\Вариант 5\"/>
    </mc:Choice>
  </mc:AlternateContent>
  <xr:revisionPtr revIDLastSave="0" documentId="13_ncr:1_{F2D926D0-89DA-45EB-85F6-ACC6DE067DC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Модель" sheetId="1" r:id="rId1"/>
    <sheet name="Вершины" sheetId="2" r:id="rId2"/>
    <sheet name="Чувствительность" sheetId="3" r:id="rId3"/>
    <sheet name="Каноническая форма" sheetId="4" r:id="rId4"/>
    <sheet name="Настройка Solver" sheetId="5" r:id="rId5"/>
  </sheets>
  <definedNames>
    <definedName name="solver_adj" localSheetId="0" hidden="1">Модель!$B$2,Модель!$B$3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Модель!$E$8</definedName>
    <definedName name="solver_lhs2" localSheetId="0" hidden="1">Модель!$E$9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Модель!$B$5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Модель!$D$8</definedName>
    <definedName name="solver_rhs2" localSheetId="0" hidden="1">Модель!$D$9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3" l="1"/>
  <c r="E25" i="3"/>
  <c r="D25" i="3"/>
  <c r="C25" i="3"/>
  <c r="F24" i="3"/>
  <c r="E24" i="3"/>
  <c r="C24" i="3"/>
  <c r="D24" i="3" s="1"/>
  <c r="F23" i="3"/>
  <c r="E23" i="3"/>
  <c r="C23" i="3"/>
  <c r="D23" i="3" s="1"/>
  <c r="F22" i="3"/>
  <c r="E22" i="3"/>
  <c r="C22" i="3"/>
  <c r="D22" i="3" s="1"/>
  <c r="F21" i="3"/>
  <c r="E21" i="3"/>
  <c r="D21" i="3"/>
  <c r="C21" i="3"/>
  <c r="F17" i="3"/>
  <c r="E17" i="3"/>
  <c r="C17" i="3"/>
  <c r="D17" i="3" s="1"/>
  <c r="F16" i="3"/>
  <c r="E16" i="3"/>
  <c r="C16" i="3"/>
  <c r="D16" i="3" s="1"/>
  <c r="F15" i="3"/>
  <c r="E15" i="3"/>
  <c r="C15" i="3"/>
  <c r="D15" i="3" s="1"/>
  <c r="F14" i="3"/>
  <c r="E14" i="3"/>
  <c r="D14" i="3"/>
  <c r="C14" i="3"/>
  <c r="F13" i="3"/>
  <c r="E13" i="3"/>
  <c r="C13" i="3"/>
  <c r="D13" i="3" s="1"/>
  <c r="C9" i="3"/>
  <c r="D9" i="3" s="1"/>
  <c r="C8" i="3"/>
  <c r="D8" i="3" s="1"/>
  <c r="C7" i="3"/>
  <c r="D7" i="3" s="1"/>
  <c r="C6" i="3"/>
  <c r="D6" i="3" s="1"/>
  <c r="C5" i="3"/>
  <c r="D5" i="3" s="1"/>
  <c r="I8" i="2"/>
  <c r="J8" i="2" s="1"/>
  <c r="H8" i="2"/>
  <c r="F8" i="2"/>
  <c r="G8" i="2" s="1"/>
  <c r="E8" i="2"/>
  <c r="D8" i="2"/>
  <c r="I7" i="2"/>
  <c r="J7" i="2" s="1"/>
  <c r="H7" i="2"/>
  <c r="G7" i="2"/>
  <c r="F7" i="2"/>
  <c r="E7" i="2"/>
  <c r="D7" i="2"/>
  <c r="B10" i="2" s="1"/>
  <c r="J6" i="2"/>
  <c r="I6" i="2"/>
  <c r="H6" i="2"/>
  <c r="F6" i="2"/>
  <c r="G6" i="2" s="1"/>
  <c r="E6" i="2"/>
  <c r="D6" i="2"/>
  <c r="I5" i="2"/>
  <c r="J5" i="2" s="1"/>
  <c r="H5" i="2"/>
  <c r="F5" i="2"/>
  <c r="G5" i="2" s="1"/>
  <c r="E5" i="2"/>
  <c r="D5" i="2"/>
  <c r="D13" i="1"/>
  <c r="C13" i="1"/>
  <c r="B13" i="1"/>
  <c r="E9" i="1"/>
  <c r="F9" i="1" s="1"/>
  <c r="F13" i="1" s="1"/>
  <c r="E8" i="1"/>
  <c r="F8" i="1" s="1"/>
  <c r="E13" i="1" s="1"/>
  <c r="B5" i="1"/>
</calcChain>
</file>

<file path=xl/sharedStrings.xml><?xml version="1.0" encoding="utf-8"?>
<sst xmlns="http://schemas.openxmlformats.org/spreadsheetml/2006/main" count="102" uniqueCount="83">
  <si>
    <t>Практическая работа по ЗЛП — Вариант 5</t>
  </si>
  <si>
    <t>Изделие 1 / продукт 1 (x₁)</t>
  </si>
  <si>
    <t>Изделие 2 / продукт 2 (x₂)</t>
  </si>
  <si>
    <t>Целевая функция W → max</t>
  </si>
  <si>
    <t>Ресурс</t>
  </si>
  <si>
    <t>Норма x₁</t>
  </si>
  <si>
    <t>Норма x₂</t>
  </si>
  <si>
    <t>Запас</t>
  </si>
  <si>
    <t>Расход</t>
  </si>
  <si>
    <t>Остаток</t>
  </si>
  <si>
    <t>Ресурс 1</t>
  </si>
  <si>
    <t>Ресурс 2</t>
  </si>
  <si>
    <t>Контроль: расходы не должны превышать запасы; остатки равны добавочным переменным канонической формы.</t>
  </si>
  <si>
    <t>Текущий результат</t>
  </si>
  <si>
    <t>x₁</t>
  </si>
  <si>
    <t>x₂</t>
  </si>
  <si>
    <t>W</t>
  </si>
  <si>
    <t>Остаток ресурса 1</t>
  </si>
  <si>
    <t>Остаток ресурса 2</t>
  </si>
  <si>
    <t>Контрольное решение</t>
  </si>
  <si>
    <t>Проверка вершин области допустимых решений — Вариант 5</t>
  </si>
  <si>
    <t>Координаты вершин заданы по построенной области допустимых решений; значения цели и расходов рассчитываются формулами.</t>
  </si>
  <si>
    <t>Вершина</t>
  </si>
  <si>
    <t>Расход R1</t>
  </si>
  <si>
    <t>Запас R1</t>
  </si>
  <si>
    <t>Остаток R1</t>
  </si>
  <si>
    <t>Расход R2</t>
  </si>
  <si>
    <t>Запас R2</t>
  </si>
  <si>
    <t>Остаток R2</t>
  </si>
  <si>
    <t>Допустима</t>
  </si>
  <si>
    <t>O</t>
  </si>
  <si>
    <t>Да</t>
  </si>
  <si>
    <t>A</t>
  </si>
  <si>
    <t>B</t>
  </si>
  <si>
    <t>C</t>
  </si>
  <si>
    <t>Максимальное значение W среди вершин</t>
  </si>
  <si>
    <t>Контрольное значение</t>
  </si>
  <si>
    <t>Примечание</t>
  </si>
  <si>
    <t>Для варианта 5 точка (2; 6) даёт W = 36, но максимум достигается в (0; 8) и равен 40.</t>
  </si>
  <si>
    <t>Анализ чувствительности — Вариант 5</t>
  </si>
  <si>
    <t>Сценарий 1. Изменение прибыли c₁; оптимальный план сохраняется до c₁ = 5</t>
  </si>
  <si>
    <t>c₁</t>
  </si>
  <si>
    <t>Теневая цена y₁</t>
  </si>
  <si>
    <t>Теневая цена y₂</t>
  </si>
  <si>
    <t>Сценарий 2. Изменение запаса ресурса 1 b₁</t>
  </si>
  <si>
    <t>b₁</t>
  </si>
  <si>
    <t>Сценарий 3. Изменение запаса ресурса 2 b₂</t>
  </si>
  <si>
    <t>b₂</t>
  </si>
  <si>
    <t>Примечание: при c₁ = 5 оптимальны все точки от C(0; 8) до B(2; 6); при 5 &lt; c₁ &lt; 10 точка B лучше C, при c₁ = 10 точки A и B равнооптимальны, а при c₁ &gt; 10 максимум достигается в A(5; 0).</t>
  </si>
  <si>
    <t>Теневые цены в строках b₁ = 10 и b₂ = 8 не единственны. В этих точках оба ресурса активны, но целевая функция может сохранять тот же оптимум при разных двойственных оценках.</t>
  </si>
  <si>
    <t>Каноническая форма — Вариант 5</t>
  </si>
  <si>
    <t>Задача</t>
  </si>
  <si>
    <t>Исходная модель</t>
  </si>
  <si>
    <t>Каноническая форма</t>
  </si>
  <si>
    <t>Вариант 5</t>
  </si>
  <si>
    <t>W = 3x₁ + 5x₂ → max; x₁ + x₂ ≤ 8; 2x₁ + x₂ ≤ 10; x₁, x₂ ≥ 0</t>
  </si>
  <si>
    <t>W = 3x₁ + 5x₂ → max; x₁ + x₂ + x₃ = 8; 2x₁ + x₂ + x₄ = 10; x₁, x₂, x₃, x₄ ≥ 0</t>
  </si>
  <si>
    <t>Настройка «Поиска решения» — Вариант 5</t>
  </si>
  <si>
    <t>Параметр</t>
  </si>
  <si>
    <t>Значение</t>
  </si>
  <si>
    <t>Пояснение</t>
  </si>
  <si>
    <t>Целевая ячейка</t>
  </si>
  <si>
    <t>$B$5</t>
  </si>
  <si>
    <t>Ячейка формулы целевой функции</t>
  </si>
  <si>
    <t>Направление</t>
  </si>
  <si>
    <t>Максимум</t>
  </si>
  <si>
    <t>Найти наибольшее значение W</t>
  </si>
  <si>
    <t>Изменяемые ячейки</t>
  </si>
  <si>
    <t>$B$2:$B$3</t>
  </si>
  <si>
    <t>Переменные x₁ и x₂</t>
  </si>
  <si>
    <t>Ограничение 1</t>
  </si>
  <si>
    <t>$E$8 &lt;= $D$8</t>
  </si>
  <si>
    <t>Расход ресурса 1 не превышает запас</t>
  </si>
  <si>
    <t>Ограничение 2</t>
  </si>
  <si>
    <t>$E$9 &lt;= $D$9</t>
  </si>
  <si>
    <t>Расход ресурса 2 не превышает запас</t>
  </si>
  <si>
    <t>Неотрицательность</t>
  </si>
  <si>
    <t>$B$2:$B$3 &gt;= 0</t>
  </si>
  <si>
    <t>Или включить соответствующий флажок</t>
  </si>
  <si>
    <t>Метод решения</t>
  </si>
  <si>
    <t>Симплекс LP</t>
  </si>
  <si>
    <t>Для линейной целевой функции и ограничений</t>
  </si>
  <si>
    <t>Как запустить: Excel → Файл → Параметры → Надстройки → Надстройки Excel → Перейти → отметить «Поиск решения». Затем Данные → Поиск решения, заполнить параметры выше и выбрать «Симплекс LP». После решения можно сохранить отчёты «Результаты», «Устойчивость» и «Пределы».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</si>
</sst>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#,##0.##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0000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49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0" borderId="11" xfId="1" applyFont="1" applyBorder="1" applyAlignment="1">
      <alignment vertical="center" wrapText="1"/>
    </xf>
    <xf numFmtId="0" fontId="0" fillId="0" borderId="12" xfId="1" applyFont="1" applyBorder="1" applyAlignment="1">
      <alignment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0" fillId="0" borderId="13" xfId="1" applyFont="1" applyBorder="1" applyAlignment="1">
      <alignment vertical="center" wrapText="1"/>
    </xf>
    <xf numFmtId="0" fontId="0" fillId="0" borderId="14" xfId="1" applyFont="1" applyBorder="1" applyAlignment="1">
      <alignment vertical="center" wrapText="1"/>
    </xf>
    <xf numFmtId="164" fontId="3" fillId="4" borderId="5" xfId="1" applyNumberFormat="1" applyFont="1" applyFill="1" applyBorder="1" applyAlignment="1">
      <alignment horizontal="center" vertical="center" wrapText="1"/>
    </xf>
    <xf numFmtId="164" fontId="3" fillId="4" borderId="8" xfId="1" applyNumberFormat="1" applyFont="1" applyFill="1" applyBorder="1" applyAlignment="1">
      <alignment horizontal="center" vertical="center" wrapText="1"/>
    </xf>
    <xf numFmtId="165" fontId="4" fillId="5" borderId="6" xfId="1" applyNumberFormat="1" applyFont="1" applyFill="1" applyBorder="1" applyAlignment="1">
      <alignment horizontal="center" vertical="center" wrapText="1"/>
    </xf>
    <xf numFmtId="165" fontId="4" fillId="5" borderId="9" xfId="1" applyNumberFormat="1" applyFont="1" applyFill="1" applyBorder="1" applyAlignment="1">
      <alignment horizontal="center" vertical="center" wrapText="1"/>
    </xf>
    <xf numFmtId="165" fontId="5" fillId="6" borderId="11" xfId="1" applyNumberFormat="1" applyFont="1" applyFill="1" applyBorder="1" applyAlignment="1">
      <alignment vertical="center" wrapText="1"/>
    </xf>
    <xf numFmtId="165" fontId="0" fillId="0" borderId="5" xfId="1" applyNumberFormat="1" applyFont="1" applyBorder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5" fontId="0" fillId="0" borderId="8" xfId="1" applyNumberFormat="1" applyFont="1" applyBorder="1" applyAlignment="1">
      <alignment vertical="center" wrapText="1"/>
    </xf>
    <xf numFmtId="165" fontId="0" fillId="0" borderId="0" xfId="1" applyNumberFormat="1" applyFont="1"/>
    <xf numFmtId="165" fontId="0" fillId="0" borderId="6" xfId="1" applyNumberFormat="1" applyFont="1" applyBorder="1" applyAlignment="1">
      <alignment vertical="center" wrapText="1"/>
    </xf>
    <xf numFmtId="165" fontId="0" fillId="0" borderId="4" xfId="1" applyNumberFormat="1" applyFont="1" applyBorder="1" applyAlignment="1">
      <alignment vertical="center" wrapText="1"/>
    </xf>
    <xf numFmtId="165" fontId="0" fillId="0" borderId="13" xfId="1" applyNumberFormat="1" applyFont="1" applyBorder="1" applyAlignment="1">
      <alignment vertical="center" wrapText="1"/>
    </xf>
    <xf numFmtId="165" fontId="0" fillId="0" borderId="14" xfId="1" applyNumberFormat="1" applyFont="1" applyBorder="1" applyAlignment="1">
      <alignment vertical="center" wrapText="1"/>
    </xf>
    <xf numFmtId="165" fontId="0" fillId="0" borderId="7" xfId="1" applyNumberFormat="1" applyFont="1" applyBorder="1" applyAlignment="1">
      <alignment vertical="center" wrapText="1"/>
    </xf>
    <xf numFmtId="165" fontId="0" fillId="0" borderId="9" xfId="1" applyNumberFormat="1" applyFont="1" applyBorder="1" applyAlignment="1">
      <alignment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6" fillId="0" borderId="0" xfId="1" applyFont="1" applyAlignment="1">
      <alignment wrapText="1"/>
    </xf>
    <xf numFmtId="0" fontId="4" fillId="6" borderId="0" xfId="1" applyFont="1" applyFill="1" applyAlignment="1">
      <alignment wrapText="1"/>
    </xf>
    <xf numFmtId="165" fontId="4" fillId="6" borderId="0" xfId="1" applyNumberFormat="1" applyFont="1" applyFill="1" applyAlignment="1">
      <alignment wrapText="1"/>
    </xf>
    <xf numFmtId="165" fontId="0" fillId="0" borderId="4" xfId="1" applyNumberFormat="1" applyFont="1" applyBorder="1" applyAlignment="1">
      <alignment vertical="center" wrapText="1"/>
    </xf>
    <xf numFmtId="165" fontId="0" fillId="0" borderId="5" xfId="1" applyNumberFormat="1" applyFont="1" applyBorder="1" applyAlignment="1">
      <alignment vertical="center" wrapText="1"/>
    </xf>
    <xf numFmtId="165" fontId="0" fillId="0" borderId="6" xfId="1" applyNumberFormat="1" applyFont="1" applyBorder="1" applyAlignment="1">
      <alignment vertical="center" wrapText="1"/>
    </xf>
    <xf numFmtId="165" fontId="0" fillId="0" borderId="7" xfId="1" applyNumberFormat="1" applyFont="1" applyBorder="1" applyAlignment="1">
      <alignment vertical="center" wrapText="1"/>
    </xf>
    <xf numFmtId="165" fontId="0" fillId="0" borderId="8" xfId="1" applyNumberFormat="1" applyFont="1" applyBorder="1" applyAlignment="1">
      <alignment vertical="center" wrapText="1"/>
    </xf>
    <xf numFmtId="165" fontId="0" fillId="0" borderId="9" xfId="1" applyNumberFormat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0" borderId="12" xfId="1" applyFont="1" applyBorder="1" applyAlignment="1">
      <alignment vertical="center" wrapText="1"/>
    </xf>
    <xf numFmtId="0" fontId="0" fillId="0" borderId="11" xfId="1" applyFont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/>
  <cols>
    <col min="1" max="1" width="29" customWidth="1"/>
    <col min="2" max="4" width="13" customWidth="1"/>
    <col min="5" max="6" width="18" customWidth="1"/>
  </cols>
  <sheetData>
    <row r="1" spans="1:6" ht="30" customHeight="1">
      <c r="A1" s="35" t="s">
        <v>0</v>
      </c>
      <c r="B1" s="35"/>
      <c r="C1" s="35"/>
      <c r="D1" s="35"/>
      <c r="E1" s="35"/>
      <c r="F1" s="35"/>
    </row>
    <row r="2" spans="1:6" ht="15">
      <c r="A2" s="4" t="s">
        <v>1</v>
      </c>
      <c r="B2" s="17">
        <v>0</v>
      </c>
      <c r="C2" s="19">
        <v>3</v>
      </c>
      <c r="D2" s="14"/>
      <c r="E2" s="14"/>
      <c r="F2" s="14"/>
    </row>
    <row r="3" spans="1:6" ht="15">
      <c r="A3" s="7" t="s">
        <v>2</v>
      </c>
      <c r="B3" s="18">
        <v>8</v>
      </c>
      <c r="C3" s="20">
        <v>5</v>
      </c>
      <c r="D3" s="14"/>
      <c r="E3" s="14"/>
      <c r="F3" s="14"/>
    </row>
    <row r="4" spans="1:6">
      <c r="A4" s="14"/>
      <c r="B4" s="14"/>
      <c r="C4" s="14"/>
      <c r="D4" s="14"/>
      <c r="E4" s="14"/>
      <c r="F4" s="14"/>
    </row>
    <row r="5" spans="1:6" ht="16.5">
      <c r="A5" s="10" t="s">
        <v>3</v>
      </c>
      <c r="B5" s="21">
        <f>B2*C2+B3*C3</f>
        <v>40</v>
      </c>
      <c r="C5" s="14"/>
      <c r="D5" s="14"/>
      <c r="E5" s="14"/>
      <c r="F5" s="14"/>
    </row>
    <row r="6" spans="1:6">
      <c r="A6" s="14"/>
      <c r="B6" s="14"/>
      <c r="C6" s="14"/>
      <c r="D6" s="14"/>
      <c r="E6" s="14"/>
      <c r="F6" s="14"/>
    </row>
    <row r="7" spans="1:6" ht="15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3" t="s">
        <v>9</v>
      </c>
    </row>
    <row r="8" spans="1:6">
      <c r="A8" s="4" t="s">
        <v>10</v>
      </c>
      <c r="B8" s="5">
        <v>1</v>
      </c>
      <c r="C8" s="5">
        <v>1</v>
      </c>
      <c r="D8" s="5">
        <v>8</v>
      </c>
      <c r="E8" s="5">
        <f>B8*$B$2+C8*$B$3</f>
        <v>8</v>
      </c>
      <c r="F8" s="6">
        <f>D8-E8</f>
        <v>0</v>
      </c>
    </row>
    <row r="9" spans="1:6">
      <c r="A9" s="7" t="s">
        <v>11</v>
      </c>
      <c r="B9" s="8">
        <v>2</v>
      </c>
      <c r="C9" s="8">
        <v>1</v>
      </c>
      <c r="D9" s="8">
        <v>10</v>
      </c>
      <c r="E9" s="8">
        <f>B9*$B$2+C9*$B$3</f>
        <v>8</v>
      </c>
      <c r="F9" s="9">
        <f>D9-E9</f>
        <v>2</v>
      </c>
    </row>
    <row r="10" spans="1:6">
      <c r="A10" s="14"/>
      <c r="B10" s="14"/>
      <c r="C10" s="14"/>
      <c r="D10" s="14"/>
      <c r="E10" s="14"/>
      <c r="F10" s="14"/>
    </row>
    <row r="11" spans="1:6">
      <c r="A11" s="36" t="s">
        <v>12</v>
      </c>
      <c r="B11" s="36"/>
      <c r="C11" s="36"/>
      <c r="D11" s="36"/>
      <c r="E11" s="36"/>
      <c r="F11" s="36"/>
    </row>
    <row r="12" spans="1:6" ht="15">
      <c r="A12" s="1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3" t="s">
        <v>18</v>
      </c>
    </row>
    <row r="13" spans="1:6">
      <c r="A13" s="10" t="s">
        <v>19</v>
      </c>
      <c r="B13" s="12">
        <f>B2</f>
        <v>0</v>
      </c>
      <c r="C13" s="12">
        <f>B3</f>
        <v>8</v>
      </c>
      <c r="D13" s="12">
        <f>B5</f>
        <v>40</v>
      </c>
      <c r="E13" s="12">
        <f>F8</f>
        <v>0</v>
      </c>
      <c r="F13" s="11">
        <f>F9</f>
        <v>2</v>
      </c>
    </row>
  </sheetData>
  <mergeCells count="2">
    <mergeCell ref="A1:F1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pane ySplit="4" topLeftCell="A5" activePane="bottomLeft" state="frozen"/>
      <selection pane="bottomLeft" sqref="A1:K1"/>
    </sheetView>
  </sheetViews>
  <sheetFormatPr defaultRowHeight="14.25"/>
  <cols>
    <col min="1" max="1" width="17" customWidth="1"/>
    <col min="2" max="3" width="10" customWidth="1"/>
    <col min="4" max="4" width="13" customWidth="1"/>
    <col min="5" max="5" width="15" customWidth="1"/>
    <col min="6" max="6" width="13" customWidth="1"/>
    <col min="7" max="8" width="15" customWidth="1"/>
    <col min="9" max="9" width="13" customWidth="1"/>
    <col min="10" max="10" width="15" customWidth="1"/>
    <col min="11" max="11" width="13" customWidth="1"/>
  </cols>
  <sheetData>
    <row r="1" spans="1:11" ht="30" customHeight="1">
      <c r="A1" s="35" t="s">
        <v>20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30" customHeight="1">
      <c r="A2" s="37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1" ht="15">
      <c r="A4" s="1" t="s">
        <v>22</v>
      </c>
      <c r="B4" s="2" t="s">
        <v>14</v>
      </c>
      <c r="C4" s="2" t="s">
        <v>15</v>
      </c>
      <c r="D4" s="2" t="s">
        <v>16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3" t="s">
        <v>29</v>
      </c>
    </row>
    <row r="5" spans="1:11">
      <c r="A5" s="4" t="s">
        <v>30</v>
      </c>
      <c r="B5" s="22">
        <v>0</v>
      </c>
      <c r="C5" s="22">
        <v>0</v>
      </c>
      <c r="D5" s="22">
        <f>B5*Модель!$C$2+C5*Модель!$C$3</f>
        <v>0</v>
      </c>
      <c r="E5" s="22">
        <f>Модель!$B$8*B5+Модель!$C$8*C5</f>
        <v>0</v>
      </c>
      <c r="F5" s="22">
        <f>Модель!$D$8</f>
        <v>8</v>
      </c>
      <c r="G5" s="22">
        <f>F5-E5</f>
        <v>8</v>
      </c>
      <c r="H5" s="22">
        <f>Модель!$B$9*B5+Модель!$C$9*C5</f>
        <v>0</v>
      </c>
      <c r="I5" s="22">
        <f>Модель!$D$9</f>
        <v>10</v>
      </c>
      <c r="J5" s="22">
        <f>I5-H5</f>
        <v>10</v>
      </c>
      <c r="K5" s="6" t="s">
        <v>31</v>
      </c>
    </row>
    <row r="6" spans="1:11">
      <c r="A6" s="15" t="s">
        <v>32</v>
      </c>
      <c r="B6" s="23">
        <v>5</v>
      </c>
      <c r="C6" s="23">
        <v>0</v>
      </c>
      <c r="D6" s="23">
        <f>B6*Модель!$C$2+C6*Модель!$C$3</f>
        <v>15</v>
      </c>
      <c r="E6" s="23">
        <f>Модель!$B$8*B6+Модель!$C$8*C6</f>
        <v>5</v>
      </c>
      <c r="F6" s="23">
        <f>Модель!$D$8</f>
        <v>8</v>
      </c>
      <c r="G6" s="23">
        <f>F6-E6</f>
        <v>3</v>
      </c>
      <c r="H6" s="23">
        <f>Модель!$B$9*B6+Модель!$C$9*C6</f>
        <v>10</v>
      </c>
      <c r="I6" s="23">
        <f>Модель!$D$9</f>
        <v>10</v>
      </c>
      <c r="J6" s="23">
        <f>I6-H6</f>
        <v>0</v>
      </c>
      <c r="K6" s="16" t="s">
        <v>31</v>
      </c>
    </row>
    <row r="7" spans="1:11">
      <c r="A7" s="15" t="s">
        <v>33</v>
      </c>
      <c r="B7" s="23">
        <v>2</v>
      </c>
      <c r="C7" s="23">
        <v>6</v>
      </c>
      <c r="D7" s="23">
        <f>B7*Модель!$C$2+C7*Модель!$C$3</f>
        <v>36</v>
      </c>
      <c r="E7" s="23">
        <f>Модель!$B$8*B7+Модель!$C$8*C7</f>
        <v>8</v>
      </c>
      <c r="F7" s="23">
        <f>Модель!$D$8</f>
        <v>8</v>
      </c>
      <c r="G7" s="23">
        <f>F7-E7</f>
        <v>0</v>
      </c>
      <c r="H7" s="23">
        <f>Модель!$B$9*B7+Модель!$C$9*C7</f>
        <v>10</v>
      </c>
      <c r="I7" s="23">
        <f>Модель!$D$9</f>
        <v>10</v>
      </c>
      <c r="J7" s="23">
        <f>I7-H7</f>
        <v>0</v>
      </c>
      <c r="K7" s="16" t="s">
        <v>31</v>
      </c>
    </row>
    <row r="8" spans="1:11">
      <c r="A8" s="7" t="s">
        <v>34</v>
      </c>
      <c r="B8" s="24">
        <v>0</v>
      </c>
      <c r="C8" s="24">
        <v>8</v>
      </c>
      <c r="D8" s="24">
        <f>B8*Модель!$C$2+C8*Модель!$C$3</f>
        <v>40</v>
      </c>
      <c r="E8" s="24">
        <f>Модель!$B$8*B8+Модель!$C$8*C8</f>
        <v>8</v>
      </c>
      <c r="F8" s="24">
        <f>Модель!$D$8</f>
        <v>8</v>
      </c>
      <c r="G8" s="24">
        <f>F8-E8</f>
        <v>0</v>
      </c>
      <c r="H8" s="24">
        <f>Модель!$B$9*B8+Модель!$C$9*C8</f>
        <v>8</v>
      </c>
      <c r="I8" s="24">
        <f>Модель!$D$9</f>
        <v>10</v>
      </c>
      <c r="J8" s="24">
        <f>I8-H8</f>
        <v>2</v>
      </c>
      <c r="K8" s="9" t="s">
        <v>31</v>
      </c>
    </row>
    <row r="9" spans="1:11">
      <c r="B9" s="25"/>
      <c r="C9" s="25"/>
      <c r="D9" s="25"/>
      <c r="E9" s="25"/>
      <c r="F9" s="25"/>
      <c r="G9" s="25"/>
      <c r="H9" s="25"/>
      <c r="I9" s="25"/>
      <c r="J9" s="25"/>
    </row>
    <row r="10" spans="1:11" ht="42.75">
      <c r="A10" s="4" t="s">
        <v>35</v>
      </c>
      <c r="B10" s="26">
        <f>MAX(D5:D8)</f>
        <v>40</v>
      </c>
      <c r="C10" s="25"/>
      <c r="D10" s="25"/>
      <c r="E10" s="25"/>
      <c r="F10" s="25"/>
      <c r="G10" s="25"/>
      <c r="H10" s="25"/>
      <c r="I10" s="25"/>
      <c r="J10" s="25"/>
    </row>
    <row r="11" spans="1:11" ht="28.5">
      <c r="A11" s="15" t="s">
        <v>36</v>
      </c>
      <c r="B11" s="16">
        <v>40</v>
      </c>
    </row>
    <row r="12" spans="1:11" ht="142.5">
      <c r="A12" s="7" t="s">
        <v>37</v>
      </c>
      <c r="B12" s="9" t="s">
        <v>38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4" topLeftCell="A5" activePane="bottomLeft" state="frozen"/>
      <selection pane="bottomLeft" sqref="A1:F1"/>
    </sheetView>
  </sheetViews>
  <sheetFormatPr defaultRowHeight="14.25"/>
  <cols>
    <col min="1" max="1" width="28" customWidth="1"/>
    <col min="2" max="3" width="12" customWidth="1"/>
    <col min="4" max="4" width="14" customWidth="1"/>
    <col min="5" max="6" width="18" customWidth="1"/>
  </cols>
  <sheetData>
    <row r="1" spans="1:6" ht="30" customHeight="1">
      <c r="A1" s="35" t="s">
        <v>39</v>
      </c>
      <c r="B1" s="35"/>
      <c r="C1" s="35"/>
      <c r="D1" s="35"/>
      <c r="E1" s="35"/>
      <c r="F1" s="35"/>
    </row>
    <row r="3" spans="1:6" ht="15">
      <c r="A3" s="38" t="s">
        <v>40</v>
      </c>
      <c r="B3" s="38"/>
      <c r="C3" s="38"/>
      <c r="D3" s="38"/>
      <c r="E3" s="38"/>
      <c r="F3" s="38"/>
    </row>
    <row r="4" spans="1:6" ht="15">
      <c r="A4" s="1" t="s">
        <v>41</v>
      </c>
      <c r="B4" s="2" t="s">
        <v>14</v>
      </c>
      <c r="C4" s="2" t="s">
        <v>15</v>
      </c>
      <c r="D4" s="2" t="s">
        <v>16</v>
      </c>
      <c r="E4" s="2" t="s">
        <v>42</v>
      </c>
      <c r="F4" s="3" t="s">
        <v>43</v>
      </c>
    </row>
    <row r="5" spans="1:6">
      <c r="A5" s="27">
        <v>1</v>
      </c>
      <c r="B5" s="22">
        <v>0</v>
      </c>
      <c r="C5" s="22">
        <f>MIN(Модель!$D$8,Модель!$D$9)</f>
        <v>8</v>
      </c>
      <c r="D5" s="22">
        <f>A5*B5+Модель!$C$3*C5</f>
        <v>40</v>
      </c>
      <c r="E5" s="22">
        <v>5</v>
      </c>
      <c r="F5" s="26">
        <v>0</v>
      </c>
    </row>
    <row r="6" spans="1:6">
      <c r="A6" s="28">
        <v>2</v>
      </c>
      <c r="B6" s="23">
        <v>0</v>
      </c>
      <c r="C6" s="23">
        <f>MIN(Модель!$D$8,Модель!$D$9)</f>
        <v>8</v>
      </c>
      <c r="D6" s="23">
        <f>A6*B6+Модель!$C$3*C6</f>
        <v>40</v>
      </c>
      <c r="E6" s="23">
        <v>5</v>
      </c>
      <c r="F6" s="29">
        <v>0</v>
      </c>
    </row>
    <row r="7" spans="1:6">
      <c r="A7" s="28">
        <v>3</v>
      </c>
      <c r="B7" s="23">
        <v>0</v>
      </c>
      <c r="C7" s="23">
        <f>MIN(Модель!$D$8,Модель!$D$9)</f>
        <v>8</v>
      </c>
      <c r="D7" s="23">
        <f>A7*B7+Модель!$C$3*C7</f>
        <v>40</v>
      </c>
      <c r="E7" s="23">
        <v>5</v>
      </c>
      <c r="F7" s="29">
        <v>0</v>
      </c>
    </row>
    <row r="8" spans="1:6">
      <c r="A8" s="28">
        <v>4</v>
      </c>
      <c r="B8" s="23">
        <v>0</v>
      </c>
      <c r="C8" s="23">
        <f>MIN(Модель!$D$8,Модель!$D$9)</f>
        <v>8</v>
      </c>
      <c r="D8" s="23">
        <f>A8*B8+Модель!$C$3*C8</f>
        <v>40</v>
      </c>
      <c r="E8" s="23">
        <v>5</v>
      </c>
      <c r="F8" s="29">
        <v>0</v>
      </c>
    </row>
    <row r="9" spans="1:6">
      <c r="A9" s="30">
        <v>5</v>
      </c>
      <c r="B9" s="24">
        <v>0</v>
      </c>
      <c r="C9" s="24">
        <f>MIN(Модель!$D$8,Модель!$D$9)</f>
        <v>8</v>
      </c>
      <c r="D9" s="24">
        <f>A9*B9+Модель!$C$3*C9</f>
        <v>40</v>
      </c>
      <c r="E9" s="24">
        <v>5</v>
      </c>
      <c r="F9" s="31">
        <v>0</v>
      </c>
    </row>
    <row r="10" spans="1:6">
      <c r="A10" s="25"/>
      <c r="B10" s="25"/>
      <c r="C10" s="25"/>
      <c r="D10" s="25"/>
      <c r="E10" s="25"/>
      <c r="F10" s="25"/>
    </row>
    <row r="11" spans="1:6" ht="15">
      <c r="A11" s="39" t="s">
        <v>44</v>
      </c>
      <c r="B11" s="39"/>
      <c r="C11" s="39"/>
      <c r="D11" s="39"/>
      <c r="E11" s="39"/>
      <c r="F11" s="39"/>
    </row>
    <row r="12" spans="1:6" ht="15">
      <c r="A12" s="32" t="s">
        <v>45</v>
      </c>
      <c r="B12" s="33" t="s">
        <v>14</v>
      </c>
      <c r="C12" s="33" t="s">
        <v>15</v>
      </c>
      <c r="D12" s="33" t="s">
        <v>16</v>
      </c>
      <c r="E12" s="33" t="s">
        <v>42</v>
      </c>
      <c r="F12" s="34" t="s">
        <v>43</v>
      </c>
    </row>
    <row r="13" spans="1:6">
      <c r="A13" s="27">
        <v>6</v>
      </c>
      <c r="B13" s="22">
        <v>0</v>
      </c>
      <c r="C13" s="22">
        <f>MIN(A13,Модель!$D$9)</f>
        <v>6</v>
      </c>
      <c r="D13" s="22">
        <f>Модель!$C$2*B13+Модель!$C$3*C13</f>
        <v>30</v>
      </c>
      <c r="E13" s="22">
        <f>IF(A13&lt;10,5,"не единств.")</f>
        <v>5</v>
      </c>
      <c r="F13" s="26">
        <f>IF(A13&lt;10,0,"не единств.")</f>
        <v>0</v>
      </c>
    </row>
    <row r="14" spans="1:6">
      <c r="A14" s="28">
        <v>7</v>
      </c>
      <c r="B14" s="23">
        <v>0</v>
      </c>
      <c r="C14" s="23">
        <f>MIN(A14,Модель!$D$9)</f>
        <v>7</v>
      </c>
      <c r="D14" s="23">
        <f>Модель!$C$2*B14+Модель!$C$3*C14</f>
        <v>35</v>
      </c>
      <c r="E14" s="23">
        <f>IF(A14&lt;10,5,"не единств.")</f>
        <v>5</v>
      </c>
      <c r="F14" s="29">
        <f>IF(A14&lt;10,0,"не единств.")</f>
        <v>0</v>
      </c>
    </row>
    <row r="15" spans="1:6">
      <c r="A15" s="28">
        <v>8</v>
      </c>
      <c r="B15" s="23">
        <v>0</v>
      </c>
      <c r="C15" s="23">
        <f>MIN(A15,Модель!$D$9)</f>
        <v>8</v>
      </c>
      <c r="D15" s="23">
        <f>Модель!$C$2*B15+Модель!$C$3*C15</f>
        <v>40</v>
      </c>
      <c r="E15" s="23">
        <f>IF(A15&lt;10,5,"не единств.")</f>
        <v>5</v>
      </c>
      <c r="F15" s="29">
        <f>IF(A15&lt;10,0,"не единств.")</f>
        <v>0</v>
      </c>
    </row>
    <row r="16" spans="1:6">
      <c r="A16" s="28">
        <v>9</v>
      </c>
      <c r="B16" s="23">
        <v>0</v>
      </c>
      <c r="C16" s="23">
        <f>MIN(A16,Модель!$D$9)</f>
        <v>9</v>
      </c>
      <c r="D16" s="23">
        <f>Модель!$C$2*B16+Модель!$C$3*C16</f>
        <v>45</v>
      </c>
      <c r="E16" s="23">
        <f>IF(A16&lt;10,5,"не единств.")</f>
        <v>5</v>
      </c>
      <c r="F16" s="29">
        <f>IF(A16&lt;10,0,"не единств.")</f>
        <v>0</v>
      </c>
    </row>
    <row r="17" spans="1:6">
      <c r="A17" s="30">
        <v>10</v>
      </c>
      <c r="B17" s="24">
        <v>0</v>
      </c>
      <c r="C17" s="24">
        <f>MIN(A17,Модель!$D$9)</f>
        <v>10</v>
      </c>
      <c r="D17" s="24">
        <f>Модель!$C$2*B17+Модель!$C$3*C17</f>
        <v>50</v>
      </c>
      <c r="E17" s="24" t="str">
        <f>IF(A17&lt;10,5,"не единств.")</f>
        <v>не единств.</v>
      </c>
      <c r="F17" s="31" t="str">
        <f>IF(A17&lt;10,0,"не единств.")</f>
        <v>не единств.</v>
      </c>
    </row>
    <row r="18" spans="1:6">
      <c r="A18" s="25"/>
      <c r="B18" s="25"/>
      <c r="C18" s="25"/>
      <c r="D18" s="25"/>
      <c r="E18" s="25"/>
      <c r="F18" s="25"/>
    </row>
    <row r="19" spans="1:6" ht="15">
      <c r="A19" s="39" t="s">
        <v>46</v>
      </c>
      <c r="B19" s="39"/>
      <c r="C19" s="39"/>
      <c r="D19" s="39"/>
      <c r="E19" s="39"/>
      <c r="F19" s="39"/>
    </row>
    <row r="20" spans="1:6" ht="15">
      <c r="A20" s="32" t="s">
        <v>47</v>
      </c>
      <c r="B20" s="33" t="s">
        <v>14</v>
      </c>
      <c r="C20" s="33" t="s">
        <v>15</v>
      </c>
      <c r="D20" s="33" t="s">
        <v>16</v>
      </c>
      <c r="E20" s="33" t="s">
        <v>42</v>
      </c>
      <c r="F20" s="34" t="s">
        <v>43</v>
      </c>
    </row>
    <row r="21" spans="1:6">
      <c r="A21" s="27">
        <v>6</v>
      </c>
      <c r="B21" s="22">
        <v>0</v>
      </c>
      <c r="C21" s="22">
        <f>MIN(A21,Модель!$D$8)</f>
        <v>6</v>
      </c>
      <c r="D21" s="22">
        <f>Модель!$C$2*B21+Модель!$C$3*C21</f>
        <v>30</v>
      </c>
      <c r="E21" s="22">
        <f>IF(A21&lt;8,0,IF(A21&gt;8,5,"не единств."))</f>
        <v>0</v>
      </c>
      <c r="F21" s="26">
        <f>IF(A21&lt;8,5,IF(A21&gt;8,0,"не единств."))</f>
        <v>5</v>
      </c>
    </row>
    <row r="22" spans="1:6">
      <c r="A22" s="28">
        <v>7</v>
      </c>
      <c r="B22" s="23">
        <v>0</v>
      </c>
      <c r="C22" s="23">
        <f>MIN(A22,Модель!$D$8)</f>
        <v>7</v>
      </c>
      <c r="D22" s="23">
        <f>Модель!$C$2*B22+Модель!$C$3*C22</f>
        <v>35</v>
      </c>
      <c r="E22" s="23">
        <f>IF(A22&lt;8,0,IF(A22&gt;8,5,"не единств."))</f>
        <v>0</v>
      </c>
      <c r="F22" s="29">
        <f>IF(A22&lt;8,5,IF(A22&gt;8,0,"не единств."))</f>
        <v>5</v>
      </c>
    </row>
    <row r="23" spans="1:6">
      <c r="A23" s="28">
        <v>8</v>
      </c>
      <c r="B23" s="23">
        <v>0</v>
      </c>
      <c r="C23" s="23">
        <f>MIN(A23,Модель!$D$8)</f>
        <v>8</v>
      </c>
      <c r="D23" s="23">
        <f>Модель!$C$2*B23+Модель!$C$3*C23</f>
        <v>40</v>
      </c>
      <c r="E23" s="23" t="str">
        <f>IF(A23&lt;8,0,IF(A23&gt;8,5,"не единств."))</f>
        <v>не единств.</v>
      </c>
      <c r="F23" s="29" t="str">
        <f>IF(A23&lt;8,5,IF(A23&gt;8,0,"не единств."))</f>
        <v>не единств.</v>
      </c>
    </row>
    <row r="24" spans="1:6">
      <c r="A24" s="28">
        <v>9</v>
      </c>
      <c r="B24" s="23">
        <v>0</v>
      </c>
      <c r="C24" s="23">
        <f>MIN(A24,Модель!$D$8)</f>
        <v>8</v>
      </c>
      <c r="D24" s="23">
        <f>Модель!$C$2*B24+Модель!$C$3*C24</f>
        <v>40</v>
      </c>
      <c r="E24" s="23">
        <f>IF(A24&lt;8,0,IF(A24&gt;8,5,"не единств."))</f>
        <v>5</v>
      </c>
      <c r="F24" s="29">
        <f>IF(A24&lt;8,5,IF(A24&gt;8,0,"не единств."))</f>
        <v>0</v>
      </c>
    </row>
    <row r="25" spans="1:6">
      <c r="A25" s="30">
        <v>10</v>
      </c>
      <c r="B25" s="24">
        <v>0</v>
      </c>
      <c r="C25" s="24">
        <f>MIN(A25,Модель!$D$8)</f>
        <v>8</v>
      </c>
      <c r="D25" s="24">
        <f>Модель!$C$2*B25+Модель!$C$3*C25</f>
        <v>40</v>
      </c>
      <c r="E25" s="24">
        <f>IF(A25&lt;8,0,IF(A25&gt;8,5,"не единств."))</f>
        <v>5</v>
      </c>
      <c r="F25" s="31">
        <f>IF(A25&lt;8,5,IF(A25&gt;8,0,"не единств."))</f>
        <v>0</v>
      </c>
    </row>
    <row r="26" spans="1:6">
      <c r="A26" s="25"/>
      <c r="B26" s="25"/>
      <c r="C26" s="25"/>
      <c r="D26" s="25"/>
      <c r="E26" s="25"/>
      <c r="F26" s="25"/>
    </row>
    <row r="27" spans="1:6" ht="45" customHeight="1">
      <c r="A27" s="40" t="s">
        <v>48</v>
      </c>
      <c r="B27" s="41"/>
      <c r="C27" s="41"/>
      <c r="D27" s="41"/>
      <c r="E27" s="41"/>
      <c r="F27" s="42"/>
    </row>
    <row r="28" spans="1:6" ht="35.1" customHeight="1">
      <c r="A28" s="43" t="s">
        <v>49</v>
      </c>
      <c r="B28" s="44"/>
      <c r="C28" s="44"/>
      <c r="D28" s="44"/>
      <c r="E28" s="44"/>
      <c r="F28" s="45"/>
    </row>
  </sheetData>
  <mergeCells count="6">
    <mergeCell ref="A28:F28"/>
    <mergeCell ref="A1:F1"/>
    <mergeCell ref="A3:F3"/>
    <mergeCell ref="A11:F11"/>
    <mergeCell ref="A19:F19"/>
    <mergeCell ref="A27:F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3" topLeftCell="A4" activePane="bottomLeft" state="frozen"/>
      <selection pane="bottomLeft" sqref="A1:C1"/>
    </sheetView>
  </sheetViews>
  <sheetFormatPr defaultRowHeight="14.25"/>
  <cols>
    <col min="1" max="1" width="16" customWidth="1"/>
    <col min="2" max="2" width="48" customWidth="1"/>
    <col min="3" max="3" width="60" customWidth="1"/>
  </cols>
  <sheetData>
    <row r="1" spans="1:3" ht="18">
      <c r="A1" s="35" t="s">
        <v>50</v>
      </c>
      <c r="B1" s="35"/>
      <c r="C1" s="35"/>
    </row>
    <row r="3" spans="1:3" ht="15">
      <c r="A3" s="1" t="s">
        <v>51</v>
      </c>
      <c r="B3" s="2" t="s">
        <v>52</v>
      </c>
      <c r="C3" s="3" t="s">
        <v>53</v>
      </c>
    </row>
    <row r="4" spans="1:3" ht="48" customHeight="1">
      <c r="A4" s="10" t="s">
        <v>54</v>
      </c>
      <c r="B4" s="12" t="s">
        <v>55</v>
      </c>
      <c r="C4" s="11" t="s">
        <v>56</v>
      </c>
    </row>
    <row r="5" spans="1:3" ht="48" customHeight="1">
      <c r="A5" s="13"/>
      <c r="B5" s="13"/>
      <c r="C5" s="13"/>
    </row>
    <row r="6" spans="1:3" ht="48" customHeight="1">
      <c r="A6" s="13"/>
      <c r="B6" s="13"/>
      <c r="C6" s="13"/>
    </row>
    <row r="7" spans="1:3" ht="48" customHeight="1">
      <c r="A7" s="13"/>
      <c r="B7" s="13"/>
      <c r="C7" s="13"/>
    </row>
    <row r="8" spans="1:3" ht="48" customHeight="1">
      <c r="A8" s="13"/>
      <c r="B8" s="13"/>
      <c r="C8" s="13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3" topLeftCell="A4" activePane="bottomLeft" state="frozen"/>
      <selection pane="bottomLeft" sqref="A1:C1"/>
    </sheetView>
  </sheetViews>
  <sheetFormatPr defaultRowHeight="14.25"/>
  <cols>
    <col min="1" max="1" width="30" customWidth="1"/>
    <col min="2" max="2" width="26" customWidth="1"/>
    <col min="3" max="3" width="55" customWidth="1"/>
  </cols>
  <sheetData>
    <row r="1" spans="1:3" ht="18">
      <c r="A1" s="35" t="s">
        <v>57</v>
      </c>
      <c r="B1" s="35"/>
      <c r="C1" s="35"/>
    </row>
    <row r="3" spans="1:3" ht="15">
      <c r="A3" s="1" t="s">
        <v>58</v>
      </c>
      <c r="B3" s="2" t="s">
        <v>59</v>
      </c>
      <c r="C3" s="3" t="s">
        <v>60</v>
      </c>
    </row>
    <row r="4" spans="1:3">
      <c r="A4" s="4" t="s">
        <v>61</v>
      </c>
      <c r="B4" s="5" t="s">
        <v>62</v>
      </c>
      <c r="C4" s="6" t="s">
        <v>63</v>
      </c>
    </row>
    <row r="5" spans="1:3">
      <c r="A5" s="15" t="s">
        <v>64</v>
      </c>
      <c r="B5" s="14" t="s">
        <v>65</v>
      </c>
      <c r="C5" s="16" t="s">
        <v>66</v>
      </c>
    </row>
    <row r="6" spans="1:3">
      <c r="A6" s="15" t="s">
        <v>67</v>
      </c>
      <c r="B6" s="14" t="s">
        <v>68</v>
      </c>
      <c r="C6" s="16" t="s">
        <v>69</v>
      </c>
    </row>
    <row r="7" spans="1:3">
      <c r="A7" s="15" t="s">
        <v>70</v>
      </c>
      <c r="B7" s="14" t="s">
        <v>71</v>
      </c>
      <c r="C7" s="16" t="s">
        <v>72</v>
      </c>
    </row>
    <row r="8" spans="1:3">
      <c r="A8" s="15" t="s">
        <v>73</v>
      </c>
      <c r="B8" s="14" t="s">
        <v>74</v>
      </c>
      <c r="C8" s="16" t="s">
        <v>75</v>
      </c>
    </row>
    <row r="9" spans="1:3">
      <c r="A9" s="15" t="s">
        <v>76</v>
      </c>
      <c r="B9" s="14" t="s">
        <v>77</v>
      </c>
      <c r="C9" s="16" t="s">
        <v>78</v>
      </c>
    </row>
    <row r="10" spans="1:3">
      <c r="A10" s="7" t="s">
        <v>79</v>
      </c>
      <c r="B10" s="8" t="s">
        <v>80</v>
      </c>
      <c r="C10" s="9" t="s">
        <v>81</v>
      </c>
    </row>
    <row r="12" spans="1:3" ht="65.099999999999994" customHeight="1">
      <c r="A12" s="46" t="s">
        <v>82</v>
      </c>
      <c r="B12" s="47"/>
      <c r="C12" s="48"/>
    </row>
  </sheetData>
  <mergeCells count="2">
    <mergeCell ref="A1:C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Модель</vt:lpstr>
      <vt:lpstr>Вершины</vt:lpstr>
      <vt:lpstr>Чувствительность</vt:lpstr>
      <vt:lpstr>Каноническая форма</vt:lpstr>
      <vt:lpstr>Настройка 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2026-10-20T01:08:02Z</dcterms:modified>
</cp:coreProperties>
</file>