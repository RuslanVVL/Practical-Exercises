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Модель" sheetId="1" state="visible" r:id="rId1"/>
    <sheet name="Вершины" sheetId="2" state="visible" r:id="rId2"/>
    <sheet name="Чувствительность" sheetId="3" state="visible" r:id="rId3"/>
    <sheet name="Каноническая форма" sheetId="4" state="visible" r:id="rId4"/>
    <sheet name="Настройка Solver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<sst xmlns="http://schemas.openxmlformats.org/spreadsheetml/2006/main" count="89" uniqueCount="89">
  <si>
    <t xml:space="preserve">Практическая работа по ЗЛП — Демонстрационный вариант</t>
  </si>
  <si>
    <t xml:space="preserve">Изделие 1 / продукт 1 (x₁)</t>
  </si>
  <si>
    <t xml:space="preserve">Изделие 2 / продукт 2 (x₂)</t>
  </si>
  <si>
    <t xml:space="preserve">Целевая функция W → max</t>
  </si>
  <si>
    <t>Ресурс</t>
  </si>
  <si>
    <t xml:space="preserve">Норма x₁</t>
  </si>
  <si>
    <t xml:space="preserve">Норма x₂</t>
  </si>
  <si>
    <t>Запас</t>
  </si>
  <si>
    <t>Расход</t>
  </si>
  <si>
    <t>Остаток</t>
  </si>
  <si>
    <t xml:space="preserve">Фрезерные станко-часы</t>
  </si>
  <si>
    <t xml:space="preserve">Токарные станко-часы</t>
  </si>
  <si>
    <t xml:space="preserve">Контроль: расходы не должны превышать запасы; остатки равны добавочным переменным канонической формы.</t>
  </si>
  <si>
    <t xml:space="preserve">Текущий результат</t>
  </si>
  <si>
    <t>x₁</t>
  </si>
  <si>
    <t>x₂</t>
  </si>
  <si>
    <t>W</t>
  </si>
  <si>
    <t xml:space="preserve">Остаток ресурса 1</t>
  </si>
  <si>
    <t xml:space="preserve">Остаток ресурса 2</t>
  </si>
  <si>
    <t xml:space="preserve">Контрольное решение</t>
  </si>
  <si>
    <t xml:space="preserve">Проверка вершин области допустимых решений — Демонстрационный вариант</t>
  </si>
  <si>
    <t xml:space="preserve">Координаты вершин заданы по построенной области допустимых решений; значения цели и расходов рассчитываются формулами.</t>
  </si>
  <si>
    <t>Вершина</t>
  </si>
  <si>
    <t xml:space="preserve">Расход R1</t>
  </si>
  <si>
    <t xml:space="preserve">Запас R1</t>
  </si>
  <si>
    <t xml:space="preserve">Остаток R1</t>
  </si>
  <si>
    <t xml:space="preserve">Расход R2</t>
  </si>
  <si>
    <t xml:space="preserve">Запас R2</t>
  </si>
  <si>
    <t xml:space="preserve">Остаток R2</t>
  </si>
  <si>
    <t>Допустима</t>
  </si>
  <si>
    <t>O</t>
  </si>
  <si>
    <t>Да</t>
  </si>
  <si>
    <t>A</t>
  </si>
  <si>
    <t>B</t>
  </si>
  <si>
    <t>C</t>
  </si>
  <si>
    <t xml:space="preserve">Максимальное значение W среди вершин</t>
  </si>
  <si>
    <t xml:space="preserve">Контрольное значение</t>
  </si>
  <si>
    <t xml:space="preserve">Примечание: максимум достигается в вершине B(60; 80).</t>
  </si>
  <si>
    <t xml:space="preserve">Анализ чувствительности — Демонстрационный вариант</t>
  </si>
  <si>
    <t xml:space="preserve">Сценарий 1. Изменение коэффициента прибыли c₁ при сохранении текущего базиса</t>
  </si>
  <si>
    <t xml:space="preserve">c₁, руб.</t>
  </si>
  <si>
    <t xml:space="preserve">Теневая цена y₁</t>
  </si>
  <si>
    <t xml:space="preserve">Теневая цена y₂</t>
  </si>
  <si>
    <t xml:space="preserve">Сценарий 2. Изменение запаса ресурса 1 b₁; ресурс 2 фиксирован</t>
  </si>
  <si>
    <t>b₁</t>
  </si>
  <si>
    <t xml:space="preserve">Сценарий 3. Изменение запаса ресурса 2 b₂; ресурс 1 фиксирован</t>
  </si>
  <si>
    <t>b₂</t>
  </si>
  <si>
    <t xml:space="preserve">Вывод: в приведённых диапазонах сохраняется тот же базис, поэтому формулы теневых цен остаются действительными.</t>
  </si>
  <si>
    <t xml:space="preserve">Для демонстрационного примера при увеличении b₁ с 400 до 410 ожидаемая прибыль 34 625 руб. (ΔW = 10 × 62,5 = 625), пока сохраняется базис.</t>
  </si>
  <si>
    <t xml:space="preserve">Каноническая форма — Демонстрационный вариант</t>
  </si>
  <si>
    <t>Задача</t>
  </si>
  <si>
    <t xml:space="preserve">Исходная модель</t>
  </si>
  <si>
    <t xml:space="preserve">Каноническая форма</t>
  </si>
  <si>
    <t>а)</t>
  </si>
  <si>
    <t xml:space="preserve">W = 5x₁ + 4x₂ → min; 2x₁ + 3x₂ ≥ 12; x₁ + x₂ ≤ 5; x₁, x₂ ≥ 0</t>
  </si>
  <si>
    <t xml:space="preserve">W′ = −5x₁ − 4x₂ → max; 2x₁ + 3x₂ − x₃ + x₅ = 12; x₁ + x₂ + x₄ = 5; x₁, x₂, x₃, x₄, x₅ ≥ 0</t>
  </si>
  <si>
    <t>б)</t>
  </si>
  <si>
    <t xml:space="preserve">W = x₁ − 2x₂ → max; x₁ + x₂ = 8; x₁ − x₂ ≤ 2; x₂ ≥ 0; x₁ свободна</t>
  </si>
  <si>
    <t xml:space="preserve">x₁ = u − v; W = u − v − 2x₂ → max; u − v + x₂ = 8; u − v − x₂ + x₃ = 2; u, v, x₂, x₃ ≥ 0</t>
  </si>
  <si>
    <t>в)</t>
  </si>
  <si>
    <t xml:space="preserve">W = 300x₁ + 200x₂ → max; 4x₁ + 2x₂ ≤ 400; 2x₁ + 3x₂ ≤ 360; x₁, x₂ ≥ 0</t>
  </si>
  <si>
    <t xml:space="preserve">W = 300x₁ + 200x₂ → max; 4x₁ + 2x₂ + x₃ = 400; 2x₁ + 3x₂ + x₄ = 360; x₁, x₂, x₃, x₄ ≥ 0</t>
  </si>
  <si>
    <t xml:space="preserve">Для задачи а) x₅ — искусственная переменная для начального базиса; далее она должна быть исключена. Для задачи б) свободная переменная заменена разностью u − v.</t>
  </si>
  <si>
    <t xml:space="preserve">Настройка «Поиска решения» — Демонстрационный вариант</t>
  </si>
  <si>
    <t>Параметр</t>
  </si>
  <si>
    <t>Значение</t>
  </si>
  <si>
    <t>Пояснение</t>
  </si>
  <si>
    <t xml:space="preserve">Целевая ячейка</t>
  </si>
  <si>
    <t>$B$5</t>
  </si>
  <si>
    <t xml:space="preserve">Ячейка формулы целевой функции</t>
  </si>
  <si>
    <t>Направление</t>
  </si>
  <si>
    <t>Максимум</t>
  </si>
  <si>
    <t xml:space="preserve">Найти наибольшее значение W</t>
  </si>
  <si>
    <t xml:space="preserve">Изменяемые ячейки</t>
  </si>
  <si>
    <t>$B$2:$B$3</t>
  </si>
  <si>
    <t xml:space="preserve">Переменные x₁ и x₂</t>
  </si>
  <si>
    <t xml:space="preserve">Ограничение 1</t>
  </si>
  <si>
    <t xml:space="preserve">$E$8 &lt;= $D$8</t>
  </si>
  <si>
    <t xml:space="preserve">Расход ресурса 1 не превышает запас</t>
  </si>
  <si>
    <t xml:space="preserve">Ограничение 2</t>
  </si>
  <si>
    <t xml:space="preserve">$E$9 &lt;= $D$9</t>
  </si>
  <si>
    <t xml:space="preserve">Расход ресурса 2 не превышает запас</t>
  </si>
  <si>
    <t>Неотрицательность</t>
  </si>
  <si>
    <t xml:space="preserve">$B$2:$B$3 &gt;= 0</t>
  </si>
  <si>
    <t xml:space="preserve">Или включить соответствующий флажок</t>
  </si>
  <si>
    <t xml:space="preserve">Метод решения</t>
  </si>
  <si>
    <t xml:space="preserve">Симплекс LP</t>
  </si>
  <si>
    <t xml:space="preserve">Для линейной целевой функции и ограничений</t>
  </si>
  <si>
    <t xml:space="preserve">Как запустить: Excel → Файл → Параметры → Надстройки → Надстройки Excel → Перейти → отметить «Поиск решения». Затем Данные → Поиск решения, заполнить параметры выше и выбрать «Симплекс LP». После решения можно сохранить отчёты «Результаты», «Устойчивость» и «Пределы».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</si>
</sst>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##"/>
    <numFmt numFmtId="165" formatCode="#,##0.##"/>
  </numFmts>
  <fonts count="7">
    <font>
      <sz val="11.000000"/>
      <name val="Carlito"/>
    </font>
    <font>
      <b/>
      <sz val="14.000000"/>
      <color indexed="65"/>
      <name val="Carlito"/>
    </font>
    <font>
      <b/>
      <sz val="11.000000"/>
      <color indexed="4"/>
      <name val="Carlito"/>
    </font>
    <font>
      <b/>
      <sz val="11.000000"/>
      <name val="Carlito"/>
    </font>
    <font>
      <b/>
      <sz val="13.000000"/>
      <name val="Carlito"/>
    </font>
    <font>
      <b/>
      <sz val="11.000000"/>
      <color rgb="FF17365D"/>
      <name val="Carlito"/>
    </font>
    <font>
      <i/>
      <sz val="11.000000"/>
      <color rgb="FF666666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5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0" numFmtId="0" xfId="0" applyAlignment="1">
      <alignment vertical="center" wrapText="1"/>
    </xf>
    <xf fontId="2" fillId="3" borderId="0" numFmtId="164" xfId="0" applyNumberFormat="1" applyFont="1" applyFill="1" applyAlignment="1">
      <alignment horizontal="center" vertical="center" wrapText="1"/>
    </xf>
    <xf fontId="3" fillId="4" borderId="0" numFmtId="165" xfId="0" applyNumberFormat="1" applyFont="1" applyFill="1" applyAlignment="1">
      <alignment horizontal="center" vertical="center" wrapText="1"/>
    </xf>
    <xf fontId="4" fillId="5" borderId="0" numFmtId="165" xfId="0" applyNumberFormat="1" applyFont="1" applyFill="1" applyAlignment="1">
      <alignment vertical="center" wrapText="1"/>
    </xf>
    <xf fontId="5" fillId="6" borderId="0" numFmtId="0" xfId="0" applyFont="1" applyFill="1" applyAlignment="1">
      <alignment horizontal="center" vertical="center" wrapText="1"/>
    </xf>
    <xf fontId="6" fillId="0" borderId="0" numFmtId="0" xfId="0" applyFont="1" applyAlignment="1">
      <alignment wrapText="1"/>
    </xf>
    <xf fontId="0" fillId="0" borderId="0" numFmtId="165" xfId="0" applyNumberFormat="1" applyAlignment="1">
      <alignment vertical="center" wrapText="1"/>
    </xf>
    <xf fontId="0" fillId="0" borderId="0" numFmtId="165" xfId="0" applyNumberFormat="1"/>
    <xf fontId="6" fillId="0" borderId="0" numFmtId="0" xfId="0" applyFont="1" applyAlignment="1">
      <alignment vertical="center" wrapText="1"/>
    </xf>
    <xf fontId="3" fillId="5" borderId="0" numFmtId="0" xfId="0" applyFont="1" applyFill="1" applyAlignment="1">
      <alignment wrapText="1"/>
    </xf>
    <xf fontId="3" fillId="5" borderId="0" numFmtId="165" xfId="0" applyNumberFormat="1" applyFont="1" applyFill="1" applyAlignment="1">
      <alignment wrapText="1"/>
    </xf>
    <xf fontId="5" fillId="6" borderId="0" numFmtId="165" xfId="0" applyNumberFormat="1" applyFont="1" applyFill="1" applyAlignment="1">
      <alignment horizontal="center" vertical="center" wrapText="1"/>
    </xf>
    <xf fontId="0" fillId="0" borderId="0" numFmtId="0" xfId="0" applyAlignment="1">
      <alignment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9"/>
    <col customWidth="1" min="2" max="4" width="13"/>
    <col customWidth="1" min="5" max="6" width="18"/>
  </cols>
  <sheetData>
    <row r="1" ht="30" customHeight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3">
        <v>60</v>
      </c>
      <c r="C2" s="4">
        <v>300</v>
      </c>
      <c r="D2" s="2"/>
      <c r="E2" s="2"/>
      <c r="F2" s="2"/>
    </row>
    <row r="3">
      <c r="A3" s="2" t="s">
        <v>2</v>
      </c>
      <c r="B3" s="3">
        <v>80</v>
      </c>
      <c r="C3" s="4">
        <v>200</v>
      </c>
      <c r="D3" s="2"/>
      <c r="E3" s="2"/>
      <c r="F3" s="2"/>
    </row>
    <row r="4">
      <c r="A4" s="2"/>
      <c r="B4" s="2"/>
      <c r="C4" s="2"/>
      <c r="D4" s="2"/>
      <c r="E4" s="2"/>
      <c r="F4" s="2"/>
    </row>
    <row r="5" ht="17.25">
      <c r="A5" s="2" t="s">
        <v>3</v>
      </c>
      <c r="B5" s="5">
        <f>B2*C2+B3*C3</f>
        <v>34000</v>
      </c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>
      <c r="A8" s="2" t="s">
        <v>10</v>
      </c>
      <c r="B8" s="2">
        <v>4</v>
      </c>
      <c r="C8" s="2">
        <v>2</v>
      </c>
      <c r="D8" s="2">
        <v>400</v>
      </c>
      <c r="E8" s="2">
        <f t="shared" ref="E8:E9" si="0">B8*$B$2+C8*$B$3</f>
        <v>400</v>
      </c>
      <c r="F8" s="2">
        <f t="shared" ref="F8:F9" si="1">D8-E8</f>
        <v>0</v>
      </c>
    </row>
    <row r="9">
      <c r="A9" s="2" t="s">
        <v>11</v>
      </c>
      <c r="B9" s="2">
        <v>2</v>
      </c>
      <c r="C9" s="2">
        <v>3</v>
      </c>
      <c r="D9" s="2">
        <v>360</v>
      </c>
      <c r="E9" s="2">
        <f t="shared" si="0"/>
        <v>360</v>
      </c>
      <c r="F9" s="2">
        <f t="shared" si="1"/>
        <v>0</v>
      </c>
    </row>
    <row r="10">
      <c r="A10" s="2"/>
      <c r="B10" s="2"/>
      <c r="C10" s="2"/>
      <c r="D10" s="2"/>
      <c r="E10" s="2"/>
      <c r="F10" s="2"/>
    </row>
    <row r="11">
      <c r="A11" s="2" t="s">
        <v>12</v>
      </c>
      <c r="B11" s="2"/>
      <c r="C11" s="2"/>
      <c r="D11" s="2"/>
      <c r="E11" s="2"/>
      <c r="F11" s="2"/>
    </row>
    <row r="12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</row>
    <row r="13">
      <c r="A13" s="2" t="s">
        <v>19</v>
      </c>
      <c r="B13" s="2">
        <f>B2</f>
        <v>60</v>
      </c>
      <c r="C13" s="2">
        <f>B3</f>
        <v>80</v>
      </c>
      <c r="D13" s="2">
        <f>B5</f>
        <v>34000</v>
      </c>
      <c r="E13" s="2">
        <f>F8</f>
        <v>0</v>
      </c>
      <c r="F13" s="2">
        <f>F9</f>
        <v>0</v>
      </c>
    </row>
  </sheetData>
  <mergeCells count="2">
    <mergeCell ref="A1:F1"/>
    <mergeCell ref="A11:F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A1" activeCellId="0" sqref="A1"/>
    </sheetView>
  </sheetViews>
  <sheetFormatPr defaultRowHeight="15"/>
  <cols>
    <col customWidth="1" min="1" max="1" width="17"/>
    <col customWidth="1" min="2" max="3" width="10"/>
    <col customWidth="1" min="4" max="4" width="13"/>
    <col customWidth="1" min="5" max="5" width="15"/>
    <col customWidth="1" min="6" max="6" width="13"/>
    <col customWidth="1" min="7" max="8" width="15"/>
    <col customWidth="1" min="9" max="9" width="13"/>
    <col customWidth="1" min="10" max="10" width="15"/>
    <col customWidth="1" min="11" max="11" width="13"/>
  </cols>
  <sheetData>
    <row r="1" ht="30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>
      <c r="A4" s="6" t="s">
        <v>22</v>
      </c>
      <c r="B4" s="6" t="s">
        <v>14</v>
      </c>
      <c r="C4" s="6" t="s">
        <v>15</v>
      </c>
      <c r="D4" s="6" t="s">
        <v>16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</row>
    <row r="5">
      <c r="A5" s="2" t="s">
        <v>30</v>
      </c>
      <c r="B5" s="8">
        <v>0</v>
      </c>
      <c r="C5" s="8">
        <v>0</v>
      </c>
      <c r="D5" s="8">
        <f>B5*'Модель'!$C$2+C5*'Модель'!$C$3</f>
        <v>0</v>
      </c>
      <c r="E5" s="8">
        <f>'Модель'!$B$8*B5+'Модель'!$C$8*C5</f>
        <v>0</v>
      </c>
      <c r="F5" s="8">
        <f>'Модель'!$D$8</f>
        <v>400</v>
      </c>
      <c r="G5" s="8">
        <f t="shared" ref="G5:G8" si="2">F5-E5</f>
        <v>400</v>
      </c>
      <c r="H5" s="8">
        <f>'Модель'!$B$9*B5+'Модель'!$C$9*C5</f>
        <v>0</v>
      </c>
      <c r="I5" s="8">
        <f>'Модель'!$D$9</f>
        <v>360</v>
      </c>
      <c r="J5" s="8">
        <f t="shared" ref="J5:J8" si="3">I5-H5</f>
        <v>360</v>
      </c>
      <c r="K5" s="2" t="s">
        <v>31</v>
      </c>
    </row>
    <row r="6">
      <c r="A6" s="2" t="s">
        <v>32</v>
      </c>
      <c r="B6" s="8">
        <v>100</v>
      </c>
      <c r="C6" s="8">
        <v>0</v>
      </c>
      <c r="D6" s="8">
        <f>B6*'Модель'!$C$2+C6*'Модель'!$C$3</f>
        <v>30000</v>
      </c>
      <c r="E6" s="8">
        <f>'Модель'!$B$8*B6+'Модель'!$C$8*C6</f>
        <v>400</v>
      </c>
      <c r="F6" s="8">
        <f>'Модель'!$D$8</f>
        <v>400</v>
      </c>
      <c r="G6" s="8">
        <f t="shared" si="2"/>
        <v>0</v>
      </c>
      <c r="H6" s="8">
        <f>'Модель'!$B$9*B6+'Модель'!$C$9*C6</f>
        <v>200</v>
      </c>
      <c r="I6" s="8">
        <f>'Модель'!$D$9</f>
        <v>360</v>
      </c>
      <c r="J6" s="8">
        <f t="shared" si="3"/>
        <v>160</v>
      </c>
      <c r="K6" s="2" t="s">
        <v>31</v>
      </c>
    </row>
    <row r="7">
      <c r="A7" s="2" t="s">
        <v>33</v>
      </c>
      <c r="B7" s="8">
        <v>60</v>
      </c>
      <c r="C7" s="8">
        <v>80</v>
      </c>
      <c r="D7" s="8">
        <f>B7*'Модель'!$C$2+C7*'Модель'!$C$3</f>
        <v>34000</v>
      </c>
      <c r="E7" s="8">
        <f>'Модель'!$B$8*B7+'Модель'!$C$8*C7</f>
        <v>400</v>
      </c>
      <c r="F7" s="8">
        <f>'Модель'!$D$8</f>
        <v>400</v>
      </c>
      <c r="G7" s="8">
        <f t="shared" si="2"/>
        <v>0</v>
      </c>
      <c r="H7" s="8">
        <f>'Модель'!$B$9*B7+'Модель'!$C$9*C7</f>
        <v>360</v>
      </c>
      <c r="I7" s="8">
        <f>'Модель'!$D$9</f>
        <v>360</v>
      </c>
      <c r="J7" s="8">
        <f t="shared" si="3"/>
        <v>0</v>
      </c>
      <c r="K7" s="2" t="s">
        <v>31</v>
      </c>
    </row>
    <row r="8">
      <c r="A8" s="2" t="s">
        <v>34</v>
      </c>
      <c r="B8" s="8">
        <v>0</v>
      </c>
      <c r="C8" s="8">
        <v>120</v>
      </c>
      <c r="D8" s="8">
        <f>B8*'Модель'!$C$2+C8*'Модель'!$C$3</f>
        <v>24000</v>
      </c>
      <c r="E8" s="8">
        <f>'Модель'!$B$8*B8+'Модель'!$C$8*C8</f>
        <v>240</v>
      </c>
      <c r="F8" s="8">
        <f>'Модель'!$D$8</f>
        <v>400</v>
      </c>
      <c r="G8" s="8">
        <f t="shared" si="2"/>
        <v>160</v>
      </c>
      <c r="H8" s="8">
        <f>'Модель'!$B$9*B8+'Модель'!$C$9*C8</f>
        <v>360</v>
      </c>
      <c r="I8" s="8">
        <f>'Модель'!$D$9</f>
        <v>360</v>
      </c>
      <c r="J8" s="8">
        <f t="shared" si="3"/>
        <v>0</v>
      </c>
      <c r="K8" s="2" t="s">
        <v>31</v>
      </c>
    </row>
    <row r="9">
      <c r="B9" s="9"/>
      <c r="C9" s="9"/>
      <c r="D9" s="9"/>
      <c r="E9" s="9"/>
      <c r="F9" s="9"/>
      <c r="G9" s="9"/>
      <c r="H9" s="9"/>
      <c r="I9" s="9"/>
      <c r="J9" s="9"/>
    </row>
    <row r="10">
      <c r="A10" s="2" t="s">
        <v>35</v>
      </c>
      <c r="B10" s="8">
        <f>MAX(D5:D8)</f>
        <v>34000</v>
      </c>
      <c r="C10" s="9"/>
      <c r="D10" s="9"/>
      <c r="E10" s="9"/>
      <c r="F10" s="9"/>
      <c r="G10" s="9"/>
      <c r="H10" s="9"/>
      <c r="I10" s="9"/>
      <c r="J10" s="9"/>
    </row>
    <row r="11">
      <c r="A11" s="2" t="s">
        <v>36</v>
      </c>
      <c r="B11" s="2">
        <v>34000</v>
      </c>
    </row>
    <row r="12" ht="30" customHeight="1">
      <c r="A12" s="10" t="s">
        <v>37</v>
      </c>
      <c r="B12" s="10"/>
      <c r="C12" s="7"/>
      <c r="D12" s="7"/>
      <c r="E12" s="7"/>
      <c r="F12" s="7"/>
      <c r="G12" s="7"/>
      <c r="H12" s="7"/>
      <c r="I12" s="7"/>
      <c r="J12" s="7"/>
      <c r="K12" s="7"/>
    </row>
  </sheetData>
  <mergeCells count="3">
    <mergeCell ref="A1:K1"/>
    <mergeCell ref="A2:K2"/>
    <mergeCell ref="A12:K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A1" activeCellId="0" sqref="A1:F1"/>
    </sheetView>
  </sheetViews>
  <sheetFormatPr defaultRowHeight="14.25"/>
  <cols>
    <col customWidth="1" min="1" max="1" width="28"/>
    <col customWidth="1" min="2" max="3" width="12"/>
    <col customWidth="1" min="4" max="4" width="14"/>
    <col customWidth="1" min="5" max="6" width="18"/>
  </cols>
  <sheetData>
    <row r="1" ht="30" customHeight="1">
      <c r="A1" s="1" t="s">
        <v>38</v>
      </c>
      <c r="B1" s="1"/>
      <c r="C1" s="1"/>
      <c r="D1" s="1"/>
      <c r="E1" s="1"/>
      <c r="F1" s="1"/>
    </row>
    <row r="3">
      <c r="A3" s="11" t="s">
        <v>39</v>
      </c>
      <c r="B3" s="11"/>
      <c r="C3" s="11"/>
      <c r="D3" s="11"/>
      <c r="E3" s="11"/>
      <c r="F3" s="11"/>
    </row>
    <row r="4">
      <c r="A4" s="6" t="s">
        <v>40</v>
      </c>
      <c r="B4" s="6" t="s">
        <v>14</v>
      </c>
      <c r="C4" s="6" t="s">
        <v>15</v>
      </c>
      <c r="D4" s="6" t="s">
        <v>16</v>
      </c>
      <c r="E4" s="6" t="s">
        <v>41</v>
      </c>
      <c r="F4" s="6" t="s">
        <v>42</v>
      </c>
    </row>
    <row r="5">
      <c r="A5" s="8">
        <v>260</v>
      </c>
      <c r="B5" s="8">
        <f>'Модель'!$B$2</f>
        <v>60</v>
      </c>
      <c r="C5" s="8">
        <f>'Модель'!$B$3</f>
        <v>80</v>
      </c>
      <c r="D5" s="8">
        <f>A5*B5+'Модель'!$C$3*C5</f>
        <v>31600</v>
      </c>
      <c r="E5" s="8">
        <f>(3*A5-2*'Модель'!$C$3)/8</f>
        <v>47.5</v>
      </c>
      <c r="F5" s="8">
        <f>(4*'Модель'!$C$3-2*A5)/8</f>
        <v>35</v>
      </c>
    </row>
    <row r="6">
      <c r="A6" s="8">
        <v>280</v>
      </c>
      <c r="B6" s="8">
        <f>'Модель'!$B$2</f>
        <v>60</v>
      </c>
      <c r="C6" s="8">
        <f>'Модель'!$B$3</f>
        <v>80</v>
      </c>
      <c r="D6" s="8">
        <f>A6*B6+'Модель'!$C$3*C6</f>
        <v>32800</v>
      </c>
      <c r="E6" s="8">
        <f>(3*A6-2*'Модель'!$C$3)/8</f>
        <v>55</v>
      </c>
      <c r="F6" s="8">
        <f>(4*'Модель'!$C$3-2*A6)/8</f>
        <v>30</v>
      </c>
    </row>
    <row r="7">
      <c r="A7" s="8">
        <v>300</v>
      </c>
      <c r="B7" s="8">
        <f>'Модель'!$B$2</f>
        <v>60</v>
      </c>
      <c r="C7" s="8">
        <f>'Модель'!$B$3</f>
        <v>80</v>
      </c>
      <c r="D7" s="8">
        <f>A7*B7+'Модель'!$C$3*C7</f>
        <v>34000</v>
      </c>
      <c r="E7" s="8">
        <f>(3*A7-2*'Модель'!$C$3)/8</f>
        <v>62.5</v>
      </c>
      <c r="F7" s="8">
        <f>(4*'Модель'!$C$3-2*A7)/8</f>
        <v>25</v>
      </c>
    </row>
    <row r="8">
      <c r="A8" s="8">
        <v>320</v>
      </c>
      <c r="B8" s="8">
        <f>'Модель'!$B$2</f>
        <v>60</v>
      </c>
      <c r="C8" s="8">
        <f>'Модель'!$B$3</f>
        <v>80</v>
      </c>
      <c r="D8" s="8">
        <f>A8*B8+'Модель'!$C$3*C8</f>
        <v>35200</v>
      </c>
      <c r="E8" s="8">
        <f>(3*A8-2*'Модель'!$C$3)/8</f>
        <v>70</v>
      </c>
      <c r="F8" s="8">
        <f>(4*'Модель'!$C$3-2*A8)/8</f>
        <v>20</v>
      </c>
    </row>
    <row r="9">
      <c r="A9" s="8">
        <v>340</v>
      </c>
      <c r="B9" s="8">
        <f>'Модель'!$B$2</f>
        <v>60</v>
      </c>
      <c r="C9" s="8">
        <f>'Модель'!$B$3</f>
        <v>80</v>
      </c>
      <c r="D9" s="8">
        <f>A9*B9+'Модель'!$C$3*C9</f>
        <v>36400</v>
      </c>
      <c r="E9" s="8">
        <f>(3*A9-2*'Модель'!$C$3)/8</f>
        <v>77.5</v>
      </c>
      <c r="F9" s="8">
        <f>(4*'Модель'!$C$3-2*A9)/8</f>
        <v>15</v>
      </c>
    </row>
    <row r="10">
      <c r="A10" s="9"/>
      <c r="B10" s="9"/>
      <c r="C10" s="9"/>
      <c r="D10" s="9"/>
      <c r="E10" s="9"/>
      <c r="F10" s="9"/>
    </row>
    <row r="11">
      <c r="A11" s="12" t="s">
        <v>43</v>
      </c>
      <c r="B11" s="12"/>
      <c r="C11" s="12"/>
      <c r="D11" s="12"/>
      <c r="E11" s="12"/>
      <c r="F11" s="12"/>
    </row>
    <row r="12">
      <c r="A12" s="13" t="s">
        <v>44</v>
      </c>
      <c r="B12" s="13" t="s">
        <v>14</v>
      </c>
      <c r="C12" s="13" t="s">
        <v>15</v>
      </c>
      <c r="D12" s="13" t="s">
        <v>16</v>
      </c>
      <c r="E12" s="13" t="s">
        <v>41</v>
      </c>
      <c r="F12" s="13" t="s">
        <v>42</v>
      </c>
    </row>
    <row r="13">
      <c r="A13" s="8">
        <v>380</v>
      </c>
      <c r="B13" s="8">
        <f>(3*A13-2*'Модель'!$D$9)/8</f>
        <v>52.5</v>
      </c>
      <c r="C13" s="8">
        <f>(-2*A13+4*'Модель'!$D$9)/8</f>
        <v>85</v>
      </c>
      <c r="D13" s="8">
        <f>'Модель'!$C$2*B13+'Модель'!$C$3*C13</f>
        <v>32750</v>
      </c>
      <c r="E13" s="8">
        <f>(3*'Модель'!$C$2-2*'Модель'!$C$3)/8</f>
        <v>62.5</v>
      </c>
      <c r="F13" s="8">
        <f>(4*'Модель'!$C$3-2*'Модель'!$C$2)/8</f>
        <v>25</v>
      </c>
    </row>
    <row r="14">
      <c r="A14" s="8">
        <v>400</v>
      </c>
      <c r="B14" s="8">
        <f>(3*A14-2*'Модель'!$D$9)/8</f>
        <v>60</v>
      </c>
      <c r="C14" s="8">
        <f>(-2*A14+4*'Модель'!$D$9)/8</f>
        <v>80</v>
      </c>
      <c r="D14" s="8">
        <f>'Модель'!$C$2*B14+'Модель'!$C$3*C14</f>
        <v>34000</v>
      </c>
      <c r="E14" s="8">
        <f>(3*'Модель'!$C$2-2*'Модель'!$C$3)/8</f>
        <v>62.5</v>
      </c>
      <c r="F14" s="8">
        <f>(4*'Модель'!$C$3-2*'Модель'!$C$2)/8</f>
        <v>25</v>
      </c>
    </row>
    <row r="15">
      <c r="A15" s="8">
        <v>420</v>
      </c>
      <c r="B15" s="8">
        <f>(3*A15-2*'Модель'!$D$9)/8</f>
        <v>67.5</v>
      </c>
      <c r="C15" s="8">
        <f>(-2*A15+4*'Модель'!$D$9)/8</f>
        <v>75</v>
      </c>
      <c r="D15" s="8">
        <f>'Модель'!$C$2*B15+'Модель'!$C$3*C15</f>
        <v>35250</v>
      </c>
      <c r="E15" s="8">
        <f>(3*'Модель'!$C$2-2*'Модель'!$C$3)/8</f>
        <v>62.5</v>
      </c>
      <c r="F15" s="8">
        <f>(4*'Модель'!$C$3-2*'Модель'!$C$2)/8</f>
        <v>25</v>
      </c>
    </row>
    <row r="16">
      <c r="A16" s="8">
        <v>440</v>
      </c>
      <c r="B16" s="8">
        <f>(3*A16-2*'Модель'!$D$9)/8</f>
        <v>75</v>
      </c>
      <c r="C16" s="8">
        <f>(-2*A16+4*'Модель'!$D$9)/8</f>
        <v>70</v>
      </c>
      <c r="D16" s="8">
        <f>'Модель'!$C$2*B16+'Модель'!$C$3*C16</f>
        <v>36500</v>
      </c>
      <c r="E16" s="8">
        <f>(3*'Модель'!$C$2-2*'Модель'!$C$3)/8</f>
        <v>62.5</v>
      </c>
      <c r="F16" s="8">
        <f>(4*'Модель'!$C$3-2*'Модель'!$C$2)/8</f>
        <v>25</v>
      </c>
    </row>
    <row r="17">
      <c r="A17" s="8">
        <v>460</v>
      </c>
      <c r="B17" s="8">
        <f>(3*A17-2*'Модель'!$D$9)/8</f>
        <v>82.5</v>
      </c>
      <c r="C17" s="8">
        <f>(-2*A17+4*'Модель'!$D$9)/8</f>
        <v>65</v>
      </c>
      <c r="D17" s="8">
        <f>'Модель'!$C$2*B17+'Модель'!$C$3*C17</f>
        <v>37750</v>
      </c>
      <c r="E17" s="8">
        <f>(3*'Модель'!$C$2-2*'Модель'!$C$3)/8</f>
        <v>62.5</v>
      </c>
      <c r="F17" s="8">
        <f>(4*'Модель'!$C$3-2*'Модель'!$C$2)/8</f>
        <v>25</v>
      </c>
    </row>
    <row r="18">
      <c r="A18" s="9"/>
      <c r="B18" s="9"/>
      <c r="C18" s="9"/>
      <c r="D18" s="9"/>
      <c r="E18" s="9"/>
      <c r="F18" s="9"/>
    </row>
    <row r="19">
      <c r="A19" s="12" t="s">
        <v>45</v>
      </c>
      <c r="B19" s="12"/>
      <c r="C19" s="12"/>
      <c r="D19" s="12"/>
      <c r="E19" s="12"/>
      <c r="F19" s="12"/>
    </row>
    <row r="20">
      <c r="A20" s="13" t="s">
        <v>46</v>
      </c>
      <c r="B20" s="13" t="s">
        <v>14</v>
      </c>
      <c r="C20" s="13" t="s">
        <v>15</v>
      </c>
      <c r="D20" s="13" t="s">
        <v>16</v>
      </c>
      <c r="E20" s="13" t="s">
        <v>41</v>
      </c>
      <c r="F20" s="13" t="s">
        <v>42</v>
      </c>
    </row>
    <row r="21">
      <c r="A21" s="8">
        <v>320</v>
      </c>
      <c r="B21" s="8">
        <f>(3*'Модель'!$D$8-2*A21)/8</f>
        <v>70</v>
      </c>
      <c r="C21" s="8">
        <f>(-2*'Модель'!$D$8+4*A21)/8</f>
        <v>60</v>
      </c>
      <c r="D21" s="8">
        <f>'Модель'!$C$2*B21+'Модель'!$C$3*C21</f>
        <v>33000</v>
      </c>
      <c r="E21" s="8">
        <f>(3*'Модель'!$C$2-2*'Модель'!$C$3)/8</f>
        <v>62.5</v>
      </c>
      <c r="F21" s="8">
        <f>(4*'Модель'!$C$3-2*'Модель'!$C$2)/8</f>
        <v>25</v>
      </c>
    </row>
    <row r="22">
      <c r="A22" s="8">
        <v>360</v>
      </c>
      <c r="B22" s="8">
        <f>(3*'Модель'!$D$8-2*A22)/8</f>
        <v>60</v>
      </c>
      <c r="C22" s="8">
        <f>(-2*'Модель'!$D$8+4*A22)/8</f>
        <v>80</v>
      </c>
      <c r="D22" s="8">
        <f>'Модель'!$C$2*B22+'Модель'!$C$3*C22</f>
        <v>34000</v>
      </c>
      <c r="E22" s="8">
        <f>(3*'Модель'!$C$2-2*'Модель'!$C$3)/8</f>
        <v>62.5</v>
      </c>
      <c r="F22" s="8">
        <f>(4*'Модель'!$C$3-2*'Модель'!$C$2)/8</f>
        <v>25</v>
      </c>
    </row>
    <row r="23">
      <c r="A23" s="8">
        <v>400</v>
      </c>
      <c r="B23" s="8">
        <f>(3*'Модель'!$D$8-2*A23)/8</f>
        <v>50</v>
      </c>
      <c r="C23" s="8">
        <f>(-2*'Модель'!$D$8+4*A23)/8</f>
        <v>100</v>
      </c>
      <c r="D23" s="8">
        <f>'Модель'!$C$2*B23+'Модель'!$C$3*C23</f>
        <v>35000</v>
      </c>
      <c r="E23" s="8">
        <f>(3*'Модель'!$C$2-2*'Модель'!$C$3)/8</f>
        <v>62.5</v>
      </c>
      <c r="F23" s="8">
        <f>(4*'Модель'!$C$3-2*'Модель'!$C$2)/8</f>
        <v>25</v>
      </c>
    </row>
    <row r="24">
      <c r="A24" s="9"/>
      <c r="B24" s="9"/>
      <c r="C24" s="9"/>
      <c r="D24" s="9"/>
      <c r="E24" s="9"/>
      <c r="F24" s="9"/>
    </row>
    <row r="25" ht="35" customHeight="1">
      <c r="A25" s="8" t="s">
        <v>47</v>
      </c>
      <c r="B25" s="8"/>
      <c r="C25" s="8"/>
      <c r="D25" s="8"/>
      <c r="E25" s="8"/>
      <c r="F25" s="8"/>
    </row>
    <row r="26" ht="251.25" customHeight="1">
      <c r="A26" s="8" t="s">
        <v>48</v>
      </c>
      <c r="B26" s="8" t="s">
        <v>48</v>
      </c>
      <c r="C26" s="8" t="s">
        <v>48</v>
      </c>
      <c r="D26" s="8" t="s">
        <v>48</v>
      </c>
      <c r="E26" s="8" t="s">
        <v>48</v>
      </c>
      <c r="F26" s="8" t="s">
        <v>48</v>
      </c>
    </row>
    <row r="27">
      <c r="A27" s="9"/>
      <c r="B27" s="9"/>
      <c r="C27" s="9"/>
      <c r="D27" s="9"/>
      <c r="E27" s="9"/>
      <c r="F27" s="9"/>
    </row>
    <row r="28">
      <c r="A28" s="9"/>
      <c r="B28" s="9"/>
      <c r="C28" s="9"/>
      <c r="D28" s="9"/>
      <c r="E28" s="9"/>
      <c r="F28" s="9"/>
    </row>
  </sheetData>
  <mergeCells count="5">
    <mergeCell ref="A1:F1"/>
    <mergeCell ref="A3:F3"/>
    <mergeCell ref="A11:F11"/>
    <mergeCell ref="A19:F19"/>
    <mergeCell ref="A25:F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3" topLeftCell="A4" activePane="bottomLeft" state="frozen"/>
      <selection activeCell="A1" activeCellId="0" sqref="A1"/>
    </sheetView>
  </sheetViews>
  <sheetFormatPr defaultRowHeight="15"/>
  <cols>
    <col customWidth="1" min="1" max="1" width="16"/>
    <col customWidth="1" min="2" max="2" width="48"/>
    <col customWidth="1" min="3" max="3" width="60"/>
  </cols>
  <sheetData>
    <row r="1">
      <c r="A1" s="1" t="s">
        <v>49</v>
      </c>
      <c r="B1" s="1"/>
      <c r="C1" s="1"/>
    </row>
    <row r="3">
      <c r="A3" s="6" t="s">
        <v>50</v>
      </c>
      <c r="B3" s="6" t="s">
        <v>51</v>
      </c>
      <c r="C3" s="6" t="s">
        <v>52</v>
      </c>
    </row>
    <row r="4" ht="48" customHeight="1">
      <c r="A4" s="2" t="s">
        <v>53</v>
      </c>
      <c r="B4" s="2" t="s">
        <v>54</v>
      </c>
      <c r="C4" s="2" t="s">
        <v>55</v>
      </c>
    </row>
    <row r="5" ht="48" customHeight="1">
      <c r="A5" s="2" t="s">
        <v>56</v>
      </c>
      <c r="B5" s="2" t="s">
        <v>57</v>
      </c>
      <c r="C5" s="2" t="s">
        <v>58</v>
      </c>
    </row>
    <row r="6" ht="48" customHeight="1">
      <c r="A6" s="2" t="s">
        <v>59</v>
      </c>
      <c r="B6" s="2" t="s">
        <v>60</v>
      </c>
      <c r="C6" s="2" t="s">
        <v>61</v>
      </c>
    </row>
    <row r="7" ht="48" customHeight="1">
      <c r="A7" s="14"/>
      <c r="B7" s="14"/>
      <c r="C7" s="14"/>
    </row>
    <row r="8" ht="48" customHeight="1">
      <c r="A8" s="14" t="s">
        <v>62</v>
      </c>
      <c r="B8" s="14"/>
      <c r="C8" s="14"/>
    </row>
  </sheetData>
  <mergeCells count="2">
    <mergeCell ref="A1:C1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3" topLeftCell="A4" activePane="bottomLeft" state="frozen"/>
      <selection activeCell="A1" activeCellId="0" sqref="A1"/>
    </sheetView>
  </sheetViews>
  <sheetFormatPr defaultRowHeight="15"/>
  <cols>
    <col customWidth="1" min="1" max="1" width="30"/>
    <col customWidth="1" min="2" max="2" width="26"/>
    <col customWidth="1" min="3" max="3" width="55"/>
  </cols>
  <sheetData>
    <row r="1">
      <c r="A1" s="1" t="s">
        <v>63</v>
      </c>
      <c r="B1" s="1"/>
      <c r="C1" s="1"/>
    </row>
    <row r="3">
      <c r="A3" s="6" t="s">
        <v>64</v>
      </c>
      <c r="B3" s="6" t="s">
        <v>65</v>
      </c>
      <c r="C3" s="6" t="s">
        <v>66</v>
      </c>
    </row>
    <row r="4">
      <c r="A4" s="2" t="s">
        <v>67</v>
      </c>
      <c r="B4" s="2" t="s">
        <v>68</v>
      </c>
      <c r="C4" s="2" t="s">
        <v>69</v>
      </c>
    </row>
    <row r="5">
      <c r="A5" s="2" t="s">
        <v>70</v>
      </c>
      <c r="B5" s="2" t="s">
        <v>71</v>
      </c>
      <c r="C5" s="2" t="s">
        <v>72</v>
      </c>
    </row>
    <row r="6">
      <c r="A6" s="2" t="s">
        <v>73</v>
      </c>
      <c r="B6" s="2" t="s">
        <v>74</v>
      </c>
      <c r="C6" s="2" t="s">
        <v>75</v>
      </c>
    </row>
    <row r="7">
      <c r="A7" s="2" t="s">
        <v>76</v>
      </c>
      <c r="B7" s="2" t="s">
        <v>77</v>
      </c>
      <c r="C7" s="2" t="s">
        <v>78</v>
      </c>
    </row>
    <row r="8">
      <c r="A8" s="2" t="s">
        <v>79</v>
      </c>
      <c r="B8" s="2" t="s">
        <v>80</v>
      </c>
      <c r="C8" s="2" t="s">
        <v>81</v>
      </c>
    </row>
    <row r="9">
      <c r="A9" s="2" t="s">
        <v>82</v>
      </c>
      <c r="B9" s="2" t="s">
        <v>83</v>
      </c>
      <c r="C9" s="2" t="s">
        <v>84</v>
      </c>
    </row>
    <row r="10">
      <c r="A10" s="2" t="s">
        <v>85</v>
      </c>
      <c r="B10" s="2" t="s">
        <v>86</v>
      </c>
      <c r="C10" s="2" t="s">
        <v>87</v>
      </c>
    </row>
    <row r="12" ht="65" customHeight="1">
      <c r="A12" s="2" t="s">
        <v>88</v>
      </c>
      <c r="B12" s="2"/>
      <c r="C12" s="2"/>
    </row>
  </sheetData>
  <mergeCells count="2">
    <mergeCell ref="A1:C1"/>
    <mergeCell ref="A12:C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2026-10-19T11:41:05Z</dcterms:modified>
</cp:coreProperties>
</file>