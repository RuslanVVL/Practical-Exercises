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МДК 02.03 Практическая 1\"/>
    </mc:Choice>
  </mc:AlternateContent>
  <xr:revisionPtr revIDLastSave="0" documentId="13_ncr:1_{30194299-5364-44B0-BA9E-8BD2048D1F7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Модель" sheetId="1" r:id="rId1"/>
    <sheet name="Эксперимен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B7" i="1"/>
  <c r="C7" i="1" s="1"/>
  <c r="B6" i="1"/>
  <c r="A7" i="1"/>
  <c r="B8" i="1" l="1"/>
  <c r="D7" i="1"/>
  <c r="D6" i="1"/>
  <c r="D8" i="1" l="1"/>
  <c r="B9" i="1"/>
  <c r="C8" i="1"/>
  <c r="C9" i="1" l="1"/>
  <c r="B10" i="1"/>
  <c r="D9" i="1"/>
  <c r="D10" i="1" l="1"/>
  <c r="B11" i="1"/>
  <c r="C10" i="1"/>
  <c r="B12" i="1" l="1"/>
  <c r="D11" i="1"/>
  <c r="C11" i="1"/>
  <c r="B13" i="1" l="1"/>
  <c r="D12" i="1"/>
  <c r="C12" i="1"/>
  <c r="C13" i="1" l="1"/>
  <c r="B14" i="1"/>
  <c r="D13" i="1"/>
  <c r="D14" i="1" l="1"/>
  <c r="B15" i="1"/>
  <c r="C14" i="1"/>
  <c r="B16" i="1" l="1"/>
  <c r="C15" i="1"/>
  <c r="D15" i="1"/>
  <c r="B17" i="1" l="1"/>
  <c r="C16" i="1"/>
  <c r="D16" i="1"/>
  <c r="B18" i="1" l="1"/>
  <c r="D17" i="1"/>
  <c r="C17" i="1"/>
  <c r="C18" i="1" l="1"/>
  <c r="B19" i="1"/>
  <c r="D18" i="1"/>
  <c r="B20" i="1" l="1"/>
  <c r="C19" i="1"/>
  <c r="D19" i="1"/>
  <c r="D20" i="1" l="1"/>
  <c r="C20" i="1"/>
  <c r="B21" i="1"/>
  <c r="C21" i="1" l="1"/>
  <c r="D21" i="1"/>
  <c r="B22" i="1"/>
  <c r="C22" i="1" l="1"/>
  <c r="B23" i="1"/>
  <c r="D22" i="1"/>
  <c r="B24" i="1" l="1"/>
  <c r="D23" i="1"/>
  <c r="C23" i="1"/>
  <c r="B25" i="1" l="1"/>
  <c r="C24" i="1"/>
  <c r="D24" i="1"/>
  <c r="C25" i="1" l="1"/>
  <c r="D25" i="1"/>
  <c r="B26" i="1"/>
  <c r="D26" i="1" l="1"/>
  <c r="C26" i="1"/>
  <c r="B27" i="1"/>
  <c r="B28" i="1" l="1"/>
  <c r="C27" i="1"/>
  <c r="D27" i="1"/>
  <c r="C28" i="1" l="1"/>
  <c r="B29" i="1"/>
  <c r="D28" i="1"/>
  <c r="C29" i="1" l="1"/>
  <c r="D29" i="1"/>
  <c r="B30" i="1"/>
  <c r="B31" i="1" l="1"/>
  <c r="C30" i="1"/>
  <c r="D30" i="1"/>
  <c r="B32" i="1" l="1"/>
  <c r="D31" i="1"/>
  <c r="C31" i="1"/>
  <c r="C32" i="1" l="1"/>
  <c r="D32" i="1"/>
  <c r="B33" i="1"/>
  <c r="C33" i="1" l="1"/>
  <c r="B34" i="1"/>
  <c r="D33" i="1"/>
  <c r="C34" i="1" l="1"/>
  <c r="B35" i="1"/>
  <c r="D34" i="1"/>
  <c r="C35" i="1" l="1"/>
  <c r="D35" i="1"/>
  <c r="B36" i="1"/>
  <c r="C36" i="1" l="1"/>
  <c r="D36" i="1"/>
</calcChain>
</file>

<file path=xl/sharedStrings.xml><?xml version="1.0" encoding="utf-8"?>
<sst xmlns="http://schemas.openxmlformats.org/spreadsheetml/2006/main" count="51" uniqueCount="28">
  <si>
    <t>a</t>
  </si>
  <si>
    <t>K</t>
  </si>
  <si>
    <t>N0</t>
  </si>
  <si>
    <t>t</t>
  </si>
  <si>
    <t>N(t)</t>
  </si>
  <si>
    <t>прирост</t>
  </si>
  <si>
    <t>доля насыщения</t>
  </si>
  <si>
    <t>№</t>
  </si>
  <si>
    <t>Серия</t>
  </si>
  <si>
    <t>T</t>
  </si>
  <si>
    <t>t* (0,95K)</t>
  </si>
  <si>
    <t>Наблюдение</t>
  </si>
  <si>
    <t>1: a</t>
  </si>
  <si>
    <t>монотонный выход к K; t*= 9 мес.; колебаний нет.</t>
  </si>
  <si>
    <t>монотонный выход к K; t*= 6 мес.; колебаний нет.</t>
  </si>
  <si>
    <t>затухающие колебания; t*= 5 мес.; перелёты через K затухают.</t>
  </si>
  <si>
    <t>затухающие колебания; t*= 4 мес.; перелёты через K затухают. В конце: 147299–152338 чел., размах 3.36% K.</t>
  </si>
  <si>
    <t>устойчивый цикл; t*= 3 мес.; несколько чередующихся значений, размах 49.38% K.</t>
  </si>
  <si>
    <t>нерегулярное поведение; t*= 3 мес.; установившейся периодичности нет, диапазон последних 12 мес. 53981–189751 чел. (90.51% K).</t>
  </si>
  <si>
    <t>нерегулярное поведение; t*= 3 мес.; установившейся периодичности нет, диапазон последних 12 мес. 20980–196193 чел. (116.81% K).</t>
  </si>
  <si>
    <t>2: N0</t>
  </si>
  <si>
    <t>затухающие колебания; t*= 8 мес.; перелёты через K затухают.</t>
  </si>
  <si>
    <t>затухающие колебания; t*= 3 мес.; перелёты через K затухают.</t>
  </si>
  <si>
    <t>затухающие колебания; t*= 2 мес.; перелёты через K затухают.</t>
  </si>
  <si>
    <t>затухающие колебания; t*= 0 мес.; перелёты через K затухают.</t>
  </si>
  <si>
    <t>3: K</t>
  </si>
  <si>
    <t>затухающие колебания; t*= 4 мес.; перелёты через K затухают.</t>
  </si>
  <si>
    <t>затухающие колебания; t*= 6 мес.; перелёты через K затухают.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</si>
</sst>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0"/>
  </numFmts>
  <fonts count="4">
    <font>
      <sz val="11"/>
      <name val="Carlito"/>
    </font>
    <font>
      <sz val="11"/>
      <name val="Carlito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wrapText="1"/>
    </xf>
    <xf numFmtId="2" fontId="3" fillId="0" borderId="0" xfId="1" applyNumberFormat="1" applyFont="1" applyAlignment="1">
      <alignment wrapText="1"/>
    </xf>
    <xf numFmtId="3" fontId="3" fillId="0" borderId="0" xfId="1" applyNumberFormat="1" applyFont="1" applyAlignment="1">
      <alignment wrapText="1"/>
    </xf>
    <xf numFmtId="0" fontId="3" fillId="0" borderId="0" xfId="0" applyFont="1"/>
    <xf numFmtId="164" fontId="3" fillId="0" borderId="0" xfId="1" applyNumberFormat="1" applyFont="1" applyAlignment="1">
      <alignment wrapText="1"/>
    </xf>
    <xf numFmtId="1" fontId="3" fillId="0" borderId="0" xfId="1" applyNumberFormat="1" applyFont="1" applyAlignment="1">
      <alignment wrapText="1"/>
    </xf>
    <xf numFmtId="165" fontId="3" fillId="0" borderId="0" xfId="1" applyNumberFormat="1" applyFont="1" applyAlignment="1">
      <alignment wrapText="1"/>
    </xf>
    <xf numFmtId="166" fontId="3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Базовая</a:t>
            </a:r>
            <a:r>
              <a:rPr lang="ru-RU" baseline="0"/>
              <a:t> траектория </a:t>
            </a:r>
            <a:r>
              <a:rPr lang="en-US" baseline="0"/>
              <a:t>N(t)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Модель!$A$6:$A$36</c:f>
              <c:numCache>
                <c:formatCode>0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Модель!$B$6:$B$36</c:f>
              <c:numCache>
                <c:formatCode>#\ ##0.0</c:formatCode>
                <c:ptCount val="31"/>
                <c:pt idx="0">
                  <c:v>8000</c:v>
                </c:pt>
                <c:pt idx="1">
                  <c:v>17088</c:v>
                </c:pt>
                <c:pt idx="2">
                  <c:v>35257.602048000001</c:v>
                </c:pt>
                <c:pt idx="3">
                  <c:v>67621.936488198931</c:v>
                </c:pt>
                <c:pt idx="4">
                  <c:v>112186.44991872556</c:v>
                </c:pt>
                <c:pt idx="5">
                  <c:v>146123.79345826249</c:v>
                </c:pt>
                <c:pt idx="6">
                  <c:v>150655.04149111384</c:v>
                </c:pt>
                <c:pt idx="7">
                  <c:v>149865.55906693658</c:v>
                </c:pt>
                <c:pt idx="8">
                  <c:v>150026.74359169681</c:v>
                </c:pt>
                <c:pt idx="9">
                  <c:v>149994.64555990306</c:v>
                </c:pt>
                <c:pt idx="10">
                  <c:v>150001.07065865916</c:v>
                </c:pt>
                <c:pt idx="11">
                  <c:v>149999.78585909767</c:v>
                </c:pt>
                <c:pt idx="12">
                  <c:v>150000.04282781362</c:v>
                </c:pt>
                <c:pt idx="13">
                  <c:v>149999.99143442258</c:v>
                </c:pt>
                <c:pt idx="14">
                  <c:v>150000.00171311491</c:v>
                </c:pt>
                <c:pt idx="15">
                  <c:v>149999.99965737699</c:v>
                </c:pt>
                <c:pt idx="16">
                  <c:v>150000.00006852459</c:v>
                </c:pt>
                <c:pt idx="17">
                  <c:v>149999.99998629509</c:v>
                </c:pt>
                <c:pt idx="18">
                  <c:v>150000.00000274097</c:v>
                </c:pt>
                <c:pt idx="19">
                  <c:v>149999.9999994518</c:v>
                </c:pt>
                <c:pt idx="20">
                  <c:v>150000.00000010963</c:v>
                </c:pt>
                <c:pt idx="21">
                  <c:v>149999.99999997806</c:v>
                </c:pt>
                <c:pt idx="22">
                  <c:v>150000.00000000439</c:v>
                </c:pt>
                <c:pt idx="23">
                  <c:v>149999.99999999913</c:v>
                </c:pt>
                <c:pt idx="24">
                  <c:v>150000.00000000017</c:v>
                </c:pt>
                <c:pt idx="25">
                  <c:v>149999.99999999997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  <c:pt idx="30">
                  <c:v>150000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A-4505-A1E7-E1C24C6ED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05855"/>
        <c:axId val="432904607"/>
      </c:scatterChart>
      <c:valAx>
        <c:axId val="43290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904607"/>
        <c:crosses val="autoZero"/>
        <c:crossBetween val="midCat"/>
      </c:valAx>
      <c:valAx>
        <c:axId val="4329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Число</a:t>
                </a:r>
                <a:r>
                  <a:rPr lang="ru-RU" sz="1400" baseline="0"/>
                  <a:t> пользователей </a:t>
                </a:r>
                <a:r>
                  <a:rPr lang="en-US" sz="1400" baseline="0"/>
                  <a:t>N(t)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90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14286</xdr:colOff>
      <xdr:row>0</xdr:row>
      <xdr:rowOff>180974</xdr:rowOff>
    </xdr:from>
    <xdr:to>
      <xdr:col>18</xdr:col>
      <xdr:colOff>19050</xdr:colOff>
      <xdr:row>29</xdr:row>
      <xdr:rowOff>171449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6F32BFC-D894-46A7-A835-3E029547E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V28" sqref="V28"/>
    </sheetView>
  </sheetViews>
  <sheetFormatPr defaultRowHeight="15"/>
  <cols>
    <col min="1" max="1" width="12" style="5" customWidth="1"/>
    <col min="2" max="5" width="18" style="5" customWidth="1"/>
    <col min="6" max="16384" width="9" style="5"/>
  </cols>
  <sheetData>
    <row r="1" spans="1:5">
      <c r="A1" s="2" t="s">
        <v>0</v>
      </c>
      <c r="B1" s="6">
        <v>1.2</v>
      </c>
      <c r="C1" s="2"/>
      <c r="D1" s="2"/>
      <c r="E1" s="2"/>
    </row>
    <row r="2" spans="1:5">
      <c r="A2" s="2" t="s">
        <v>1</v>
      </c>
      <c r="B2" s="6">
        <v>150000</v>
      </c>
      <c r="C2" s="2"/>
      <c r="D2" s="2"/>
      <c r="E2" s="2"/>
    </row>
    <row r="3" spans="1:5">
      <c r="A3" s="2" t="s">
        <v>2</v>
      </c>
      <c r="B3" s="6">
        <v>8000</v>
      </c>
      <c r="C3" s="2"/>
      <c r="D3" s="2"/>
      <c r="E3" s="2"/>
    </row>
    <row r="4" spans="1:5">
      <c r="A4" s="2"/>
      <c r="B4" s="6"/>
      <c r="C4" s="2"/>
      <c r="D4" s="2"/>
    </row>
    <row r="5" spans="1:5">
      <c r="A5" s="1" t="s">
        <v>3</v>
      </c>
      <c r="B5" s="1" t="s">
        <v>4</v>
      </c>
      <c r="C5" s="1" t="s">
        <v>5</v>
      </c>
      <c r="D5" s="1" t="s">
        <v>6</v>
      </c>
    </row>
    <row r="6" spans="1:5">
      <c r="A6" s="7">
        <v>0</v>
      </c>
      <c r="B6" s="8">
        <f>$B$3</f>
        <v>8000</v>
      </c>
      <c r="C6" s="8"/>
      <c r="D6" s="9">
        <f t="shared" ref="D6" si="0">B6/$B$3</f>
        <v>1</v>
      </c>
    </row>
    <row r="7" spans="1:5">
      <c r="A7" s="7">
        <f t="shared" ref="A7" si="1">A6+1</f>
        <v>1</v>
      </c>
      <c r="B7" s="8">
        <f>B6+$B$1*B6*(1-B6/$B$2)</f>
        <v>17088</v>
      </c>
      <c r="C7" s="8">
        <f t="shared" ref="C7" si="2">B7-B6</f>
        <v>9088</v>
      </c>
      <c r="D7" s="9">
        <f>B7/$B$2</f>
        <v>0.11391999999999999</v>
      </c>
    </row>
    <row r="8" spans="1:5">
      <c r="A8" s="7">
        <f t="shared" ref="A8" si="3">A7+1</f>
        <v>2</v>
      </c>
      <c r="B8" s="8">
        <f t="shared" ref="B8:B36" si="4">B7+$B$1*B7*(1-B7/$B$2)</f>
        <v>35257.602048000001</v>
      </c>
      <c r="C8" s="8">
        <f t="shared" ref="C8:C36" si="5">B8-B7</f>
        <v>18169.602048000001</v>
      </c>
      <c r="D8" s="9">
        <f t="shared" ref="D8:D36" si="6">B8/$B$2</f>
        <v>0.23505068032000001</v>
      </c>
    </row>
    <row r="9" spans="1:5">
      <c r="A9" s="7">
        <f t="shared" ref="A9" si="7">A8+1</f>
        <v>3</v>
      </c>
      <c r="B9" s="8">
        <f t="shared" si="4"/>
        <v>67621.936488198931</v>
      </c>
      <c r="C9" s="8">
        <f t="shared" si="5"/>
        <v>32364.334440198931</v>
      </c>
      <c r="D9" s="9">
        <f t="shared" si="6"/>
        <v>0.45081290992132622</v>
      </c>
    </row>
    <row r="10" spans="1:5">
      <c r="A10" s="7">
        <f t="shared" ref="A10" si="8">A9+1</f>
        <v>4</v>
      </c>
      <c r="B10" s="8">
        <f t="shared" si="4"/>
        <v>112186.44991872556</v>
      </c>
      <c r="C10" s="8">
        <f t="shared" si="5"/>
        <v>44564.513430526626</v>
      </c>
      <c r="D10" s="9">
        <f t="shared" si="6"/>
        <v>0.747909666124837</v>
      </c>
    </row>
    <row r="11" spans="1:5">
      <c r="A11" s="7">
        <f t="shared" ref="A11" si="9">A10+1</f>
        <v>5</v>
      </c>
      <c r="B11" s="8">
        <f t="shared" si="4"/>
        <v>146123.79345826249</v>
      </c>
      <c r="C11" s="8">
        <f t="shared" si="5"/>
        <v>33937.343539536931</v>
      </c>
      <c r="D11" s="9">
        <f t="shared" si="6"/>
        <v>0.97415862305508327</v>
      </c>
    </row>
    <row r="12" spans="1:5">
      <c r="A12" s="7">
        <f t="shared" ref="A12" si="10">A11+1</f>
        <v>6</v>
      </c>
      <c r="B12" s="8">
        <f t="shared" si="4"/>
        <v>150655.04149111384</v>
      </c>
      <c r="C12" s="8">
        <f t="shared" si="5"/>
        <v>4531.2480328513484</v>
      </c>
      <c r="D12" s="9">
        <f t="shared" si="6"/>
        <v>1.0043669432740923</v>
      </c>
    </row>
    <row r="13" spans="1:5">
      <c r="A13" s="7">
        <f t="shared" ref="A13" si="11">A12+1</f>
        <v>7</v>
      </c>
      <c r="B13" s="8">
        <f t="shared" si="4"/>
        <v>149865.55906693658</v>
      </c>
      <c r="C13" s="8">
        <f t="shared" si="5"/>
        <v>-789.48242417725851</v>
      </c>
      <c r="D13" s="9">
        <f t="shared" si="6"/>
        <v>0.99910372711291051</v>
      </c>
    </row>
    <row r="14" spans="1:5">
      <c r="A14" s="7">
        <f t="shared" ref="A14" si="12">A13+1</f>
        <v>8</v>
      </c>
      <c r="B14" s="8">
        <f t="shared" si="4"/>
        <v>150026.74359169681</v>
      </c>
      <c r="C14" s="8">
        <f t="shared" si="5"/>
        <v>161.18452476023231</v>
      </c>
      <c r="D14" s="9">
        <f t="shared" si="6"/>
        <v>1.0001782906113121</v>
      </c>
    </row>
    <row r="15" spans="1:5">
      <c r="A15" s="7">
        <f t="shared" ref="A15" si="13">A14+1</f>
        <v>9</v>
      </c>
      <c r="B15" s="8">
        <f t="shared" si="4"/>
        <v>149994.64555990306</v>
      </c>
      <c r="C15" s="8">
        <f t="shared" si="5"/>
        <v>-32.098031793750124</v>
      </c>
      <c r="D15" s="9">
        <f t="shared" si="6"/>
        <v>0.99996430373268708</v>
      </c>
    </row>
    <row r="16" spans="1:5">
      <c r="A16" s="7">
        <f t="shared" ref="A16" si="14">A15+1</f>
        <v>10</v>
      </c>
      <c r="B16" s="8">
        <f t="shared" si="4"/>
        <v>150001.07065865916</v>
      </c>
      <c r="C16" s="8">
        <f t="shared" si="5"/>
        <v>6.4250987560953945</v>
      </c>
      <c r="D16" s="9">
        <f t="shared" si="6"/>
        <v>1.0000071377243944</v>
      </c>
    </row>
    <row r="17" spans="1:5">
      <c r="A17" s="7">
        <f t="shared" ref="A17" si="15">A16+1</f>
        <v>11</v>
      </c>
      <c r="B17" s="8">
        <f t="shared" si="4"/>
        <v>149999.78585909767</v>
      </c>
      <c r="C17" s="8">
        <f t="shared" si="5"/>
        <v>-1.2847995614865795</v>
      </c>
      <c r="D17" s="9">
        <f t="shared" si="6"/>
        <v>0.99999857239398449</v>
      </c>
    </row>
    <row r="18" spans="1:5">
      <c r="A18" s="7">
        <f t="shared" ref="A18" si="16">A17+1</f>
        <v>12</v>
      </c>
      <c r="B18" s="8">
        <f t="shared" si="4"/>
        <v>150000.04282781362</v>
      </c>
      <c r="C18" s="8">
        <f t="shared" si="5"/>
        <v>0.25696871595573612</v>
      </c>
      <c r="D18" s="9">
        <f t="shared" si="6"/>
        <v>1.0000002855187575</v>
      </c>
    </row>
    <row r="19" spans="1:5">
      <c r="A19" s="7">
        <f t="shared" ref="A19" si="17">A18+1</f>
        <v>13</v>
      </c>
      <c r="B19" s="8">
        <f t="shared" si="4"/>
        <v>149999.99143442258</v>
      </c>
      <c r="C19" s="8">
        <f t="shared" si="5"/>
        <v>-5.1393391040619463E-2</v>
      </c>
      <c r="D19" s="9">
        <f t="shared" si="6"/>
        <v>0.99999994289615057</v>
      </c>
    </row>
    <row r="20" spans="1:5">
      <c r="A20" s="7">
        <f t="shared" ref="A20" si="18">A19+1</f>
        <v>14</v>
      </c>
      <c r="B20" s="8">
        <f t="shared" si="4"/>
        <v>150000.00171311491</v>
      </c>
      <c r="C20" s="8">
        <f t="shared" si="5"/>
        <v>1.0278692323481664E-2</v>
      </c>
      <c r="D20" s="9">
        <f t="shared" si="6"/>
        <v>1.0000000114207661</v>
      </c>
    </row>
    <row r="21" spans="1:5">
      <c r="A21" s="7">
        <f t="shared" ref="A21" si="19">A20+1</f>
        <v>15</v>
      </c>
      <c r="B21" s="8">
        <f t="shared" si="4"/>
        <v>149999.99965737699</v>
      </c>
      <c r="C21" s="8">
        <f t="shared" si="5"/>
        <v>-2.0557379175443202E-3</v>
      </c>
      <c r="D21" s="9">
        <f t="shared" si="6"/>
        <v>0.99999999771584658</v>
      </c>
    </row>
    <row r="22" spans="1:5">
      <c r="A22" s="7">
        <f t="shared" ref="A22" si="20">A21+1</f>
        <v>16</v>
      </c>
      <c r="B22" s="8">
        <f t="shared" si="4"/>
        <v>150000.00006852459</v>
      </c>
      <c r="C22" s="8">
        <f t="shared" si="5"/>
        <v>4.1114760097116232E-4</v>
      </c>
      <c r="D22" s="9">
        <f t="shared" si="6"/>
        <v>1.0000000004568306</v>
      </c>
    </row>
    <row r="23" spans="1:5">
      <c r="A23" s="7">
        <f t="shared" ref="A23" si="21">A22+1</f>
        <v>17</v>
      </c>
      <c r="B23" s="8">
        <f t="shared" si="4"/>
        <v>149999.99998629509</v>
      </c>
      <c r="C23" s="8">
        <f t="shared" si="5"/>
        <v>-8.2229496911168098E-5</v>
      </c>
      <c r="D23" s="9">
        <f t="shared" si="6"/>
        <v>0.99999999990863397</v>
      </c>
    </row>
    <row r="24" spans="1:5">
      <c r="A24" s="7">
        <f t="shared" ref="A24" si="22">A23+1</f>
        <v>18</v>
      </c>
      <c r="B24" s="8">
        <f t="shared" si="4"/>
        <v>150000.00000274097</v>
      </c>
      <c r="C24" s="8">
        <f t="shared" si="5"/>
        <v>1.6445876099169254E-5</v>
      </c>
      <c r="D24" s="9">
        <f t="shared" si="6"/>
        <v>1.0000000000182732</v>
      </c>
    </row>
    <row r="25" spans="1:5">
      <c r="A25" s="7">
        <f t="shared" ref="A25" si="23">A24+1</f>
        <v>19</v>
      </c>
      <c r="B25" s="8">
        <f t="shared" si="4"/>
        <v>149999.9999994518</v>
      </c>
      <c r="C25" s="8">
        <f t="shared" si="5"/>
        <v>-3.2891693990677595E-6</v>
      </c>
      <c r="D25" s="9">
        <f t="shared" si="6"/>
        <v>0.99999999999634537</v>
      </c>
    </row>
    <row r="26" spans="1:5">
      <c r="A26" s="7">
        <f t="shared" ref="A26" si="24">A25+1</f>
        <v>20</v>
      </c>
      <c r="B26" s="8">
        <f t="shared" si="4"/>
        <v>150000.00000010963</v>
      </c>
      <c r="C26" s="8">
        <f t="shared" si="5"/>
        <v>6.578338798135519E-7</v>
      </c>
      <c r="D26" s="9">
        <f t="shared" si="6"/>
        <v>1.000000000000731</v>
      </c>
    </row>
    <row r="27" spans="1:5">
      <c r="A27" s="7">
        <f t="shared" ref="A27" si="25">A26+1</f>
        <v>21</v>
      </c>
      <c r="B27" s="8">
        <f t="shared" si="4"/>
        <v>149999.99999997806</v>
      </c>
      <c r="C27" s="8">
        <f t="shared" si="5"/>
        <v>-1.3157841749489307E-7</v>
      </c>
      <c r="D27" s="9">
        <f t="shared" si="6"/>
        <v>0.99999999999985367</v>
      </c>
    </row>
    <row r="28" spans="1:5">
      <c r="A28" s="7">
        <f t="shared" ref="A28" si="26">A27+1</f>
        <v>22</v>
      </c>
      <c r="B28" s="8">
        <f t="shared" si="4"/>
        <v>150000.00000000439</v>
      </c>
      <c r="C28" s="8">
        <f t="shared" si="5"/>
        <v>2.6338966563344002E-8</v>
      </c>
      <c r="D28" s="9">
        <f t="shared" si="6"/>
        <v>1.0000000000000293</v>
      </c>
    </row>
    <row r="29" spans="1:5">
      <c r="A29" s="7">
        <f t="shared" ref="A29" si="27">A28+1</f>
        <v>23</v>
      </c>
      <c r="B29" s="8">
        <f t="shared" si="4"/>
        <v>149999.99999999913</v>
      </c>
      <c r="C29" s="8">
        <f t="shared" si="5"/>
        <v>-5.2677933126688004E-9</v>
      </c>
      <c r="D29" s="9">
        <f t="shared" si="6"/>
        <v>0.99999999999999423</v>
      </c>
    </row>
    <row r="30" spans="1:5">
      <c r="A30" s="7">
        <f t="shared" ref="A30" si="28">A29+1</f>
        <v>24</v>
      </c>
      <c r="B30" s="8">
        <f t="shared" si="4"/>
        <v>150000.00000000017</v>
      </c>
      <c r="C30" s="8">
        <f t="shared" si="5"/>
        <v>1.0477378964424133E-9</v>
      </c>
      <c r="D30" s="9">
        <f t="shared" si="6"/>
        <v>1.0000000000000011</v>
      </c>
    </row>
    <row r="31" spans="1:5">
      <c r="A31" s="7">
        <f t="shared" ref="A31" si="29">A30+1</f>
        <v>25</v>
      </c>
      <c r="B31" s="8">
        <f t="shared" si="4"/>
        <v>149999.99999999997</v>
      </c>
      <c r="C31" s="8">
        <f t="shared" si="5"/>
        <v>0</v>
      </c>
      <c r="D31" s="9">
        <f t="shared" si="6"/>
        <v>0.99999999999999978</v>
      </c>
      <c r="E31" s="4"/>
    </row>
    <row r="32" spans="1:5">
      <c r="A32" s="7">
        <f t="shared" ref="A32" si="30">A31+1</f>
        <v>26</v>
      </c>
      <c r="B32" s="8">
        <f t="shared" si="4"/>
        <v>150000</v>
      </c>
      <c r="C32" s="8">
        <f t="shared" si="5"/>
        <v>0</v>
      </c>
      <c r="D32" s="9">
        <f t="shared" si="6"/>
        <v>1</v>
      </c>
      <c r="E32" s="4"/>
    </row>
    <row r="33" spans="1:5">
      <c r="A33" s="7">
        <f t="shared" ref="A33" si="31">A32+1</f>
        <v>27</v>
      </c>
      <c r="B33" s="8">
        <f t="shared" si="4"/>
        <v>150000</v>
      </c>
      <c r="C33" s="8">
        <f t="shared" si="5"/>
        <v>0</v>
      </c>
      <c r="D33" s="9">
        <f t="shared" si="6"/>
        <v>1</v>
      </c>
      <c r="E33" s="4"/>
    </row>
    <row r="34" spans="1:5">
      <c r="A34" s="7">
        <f t="shared" ref="A34" si="32">A33+1</f>
        <v>28</v>
      </c>
      <c r="B34" s="8">
        <f t="shared" si="4"/>
        <v>150000</v>
      </c>
      <c r="C34" s="8">
        <f t="shared" si="5"/>
        <v>0</v>
      </c>
      <c r="D34" s="9">
        <f t="shared" si="6"/>
        <v>1</v>
      </c>
      <c r="E34" s="4"/>
    </row>
    <row r="35" spans="1:5">
      <c r="A35" s="7">
        <f t="shared" ref="A35" si="33">A34+1</f>
        <v>29</v>
      </c>
      <c r="B35" s="8">
        <f t="shared" si="4"/>
        <v>150000</v>
      </c>
      <c r="C35" s="8">
        <f t="shared" si="5"/>
        <v>0</v>
      </c>
      <c r="D35" s="9">
        <f t="shared" si="6"/>
        <v>1</v>
      </c>
      <c r="E35" s="4"/>
    </row>
    <row r="36" spans="1:5">
      <c r="A36" s="7">
        <f t="shared" ref="A36" si="34">A35+1</f>
        <v>30</v>
      </c>
      <c r="B36" s="8">
        <f t="shared" si="4"/>
        <v>150000</v>
      </c>
      <c r="C36" s="8">
        <f t="shared" si="5"/>
        <v>0</v>
      </c>
      <c r="D36" s="9">
        <f t="shared" si="6"/>
        <v>1</v>
      </c>
      <c r="E36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H29" sqref="H29"/>
    </sheetView>
  </sheetViews>
  <sheetFormatPr defaultRowHeight="15"/>
  <cols>
    <col min="1" max="1" width="7" style="5" customWidth="1"/>
    <col min="2" max="2" width="12" style="5" customWidth="1"/>
    <col min="3" max="3" width="10" style="5" customWidth="1"/>
    <col min="4" max="5" width="13" style="5" customWidth="1"/>
    <col min="6" max="6" width="8" style="5" customWidth="1"/>
    <col min="7" max="7" width="16" style="5" customWidth="1"/>
    <col min="8" max="8" width="58" style="5" customWidth="1"/>
    <col min="9" max="16384" width="9" style="5"/>
  </cols>
  <sheetData>
    <row r="1" spans="1:8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9</v>
      </c>
      <c r="G1" s="1" t="s">
        <v>10</v>
      </c>
      <c r="H1" s="1" t="s">
        <v>11</v>
      </c>
    </row>
    <row r="2" spans="1:8">
      <c r="A2" s="2">
        <v>1</v>
      </c>
      <c r="B2" s="2" t="s">
        <v>12</v>
      </c>
      <c r="C2" s="3">
        <v>0.7</v>
      </c>
      <c r="D2" s="4">
        <v>150000</v>
      </c>
      <c r="E2" s="4">
        <v>8000</v>
      </c>
      <c r="F2" s="2">
        <v>30</v>
      </c>
      <c r="G2" s="2">
        <v>9</v>
      </c>
      <c r="H2" s="2" t="s">
        <v>13</v>
      </c>
    </row>
    <row r="3" spans="1:8">
      <c r="A3" s="2">
        <v>2</v>
      </c>
      <c r="B3" s="2" t="s">
        <v>12</v>
      </c>
      <c r="C3" s="3">
        <v>1</v>
      </c>
      <c r="D3" s="4">
        <v>150000</v>
      </c>
      <c r="E3" s="4">
        <v>8000</v>
      </c>
      <c r="F3" s="2">
        <v>30</v>
      </c>
      <c r="G3" s="2">
        <v>6</v>
      </c>
      <c r="H3" s="2" t="s">
        <v>14</v>
      </c>
    </row>
    <row r="4" spans="1:8">
      <c r="A4" s="2">
        <v>3</v>
      </c>
      <c r="B4" s="2" t="s">
        <v>12</v>
      </c>
      <c r="C4" s="3">
        <v>1.2</v>
      </c>
      <c r="D4" s="4">
        <v>150000</v>
      </c>
      <c r="E4" s="4">
        <v>8000</v>
      </c>
      <c r="F4" s="2">
        <v>30</v>
      </c>
      <c r="G4" s="2">
        <v>5</v>
      </c>
      <c r="H4" s="2" t="s">
        <v>15</v>
      </c>
    </row>
    <row r="5" spans="1:8">
      <c r="A5" s="2">
        <v>4</v>
      </c>
      <c r="B5" s="2" t="s">
        <v>12</v>
      </c>
      <c r="C5" s="3">
        <v>1.4</v>
      </c>
      <c r="D5" s="4">
        <v>150000</v>
      </c>
      <c r="E5" s="4">
        <v>8000</v>
      </c>
      <c r="F5" s="2">
        <v>30</v>
      </c>
      <c r="G5" s="2">
        <v>5</v>
      </c>
      <c r="H5" s="2" t="s">
        <v>15</v>
      </c>
    </row>
    <row r="6" spans="1:8" ht="30">
      <c r="A6" s="2">
        <v>5</v>
      </c>
      <c r="B6" s="2" t="s">
        <v>12</v>
      </c>
      <c r="C6" s="3">
        <v>1.9</v>
      </c>
      <c r="D6" s="4">
        <v>150000</v>
      </c>
      <c r="E6" s="4">
        <v>8000</v>
      </c>
      <c r="F6" s="2">
        <v>30</v>
      </c>
      <c r="G6" s="2">
        <v>4</v>
      </c>
      <c r="H6" s="2" t="s">
        <v>16</v>
      </c>
    </row>
    <row r="7" spans="1:8" ht="30">
      <c r="A7" s="2">
        <v>6</v>
      </c>
      <c r="B7" s="2" t="s">
        <v>12</v>
      </c>
      <c r="C7" s="3">
        <v>2.2999999999999998</v>
      </c>
      <c r="D7" s="4">
        <v>150000</v>
      </c>
      <c r="E7" s="4">
        <v>8000</v>
      </c>
      <c r="F7" s="2">
        <v>30</v>
      </c>
      <c r="G7" s="2">
        <v>3</v>
      </c>
      <c r="H7" s="2" t="s">
        <v>17</v>
      </c>
    </row>
    <row r="8" spans="1:8" ht="30">
      <c r="A8" s="2">
        <v>7</v>
      </c>
      <c r="B8" s="2" t="s">
        <v>12</v>
      </c>
      <c r="C8" s="3">
        <v>2.7</v>
      </c>
      <c r="D8" s="4">
        <v>150000</v>
      </c>
      <c r="E8" s="4">
        <v>8000</v>
      </c>
      <c r="F8" s="2">
        <v>30</v>
      </c>
      <c r="G8" s="2">
        <v>3</v>
      </c>
      <c r="H8" s="2" t="s">
        <v>18</v>
      </c>
    </row>
    <row r="9" spans="1:8" ht="30">
      <c r="A9" s="2">
        <v>8</v>
      </c>
      <c r="B9" s="2" t="s">
        <v>12</v>
      </c>
      <c r="C9" s="3">
        <v>2.9</v>
      </c>
      <c r="D9" s="4">
        <v>150000</v>
      </c>
      <c r="E9" s="4">
        <v>8000</v>
      </c>
      <c r="F9" s="2">
        <v>30</v>
      </c>
      <c r="G9" s="2">
        <v>3</v>
      </c>
      <c r="H9" s="2" t="s">
        <v>19</v>
      </c>
    </row>
    <row r="10" spans="1:8">
      <c r="A10" s="2">
        <v>9</v>
      </c>
      <c r="B10" s="2" t="s">
        <v>20</v>
      </c>
      <c r="C10" s="3">
        <v>1.2</v>
      </c>
      <c r="D10" s="4">
        <v>150000</v>
      </c>
      <c r="E10" s="4">
        <v>1000</v>
      </c>
      <c r="F10" s="2">
        <v>30</v>
      </c>
      <c r="G10" s="2">
        <v>8</v>
      </c>
      <c r="H10" s="2" t="s">
        <v>21</v>
      </c>
    </row>
    <row r="11" spans="1:8">
      <c r="A11" s="2">
        <v>10</v>
      </c>
      <c r="B11" s="2" t="s">
        <v>20</v>
      </c>
      <c r="C11" s="3">
        <v>1.2</v>
      </c>
      <c r="D11" s="4">
        <v>150000</v>
      </c>
      <c r="E11" s="4">
        <v>8000</v>
      </c>
      <c r="F11" s="2">
        <v>30</v>
      </c>
      <c r="G11" s="2">
        <v>5</v>
      </c>
      <c r="H11" s="2" t="s">
        <v>15</v>
      </c>
    </row>
    <row r="12" spans="1:8">
      <c r="A12" s="2">
        <v>11</v>
      </c>
      <c r="B12" s="2" t="s">
        <v>20</v>
      </c>
      <c r="C12" s="3">
        <v>1.2</v>
      </c>
      <c r="D12" s="4">
        <v>150000</v>
      </c>
      <c r="E12" s="4">
        <v>50000</v>
      </c>
      <c r="F12" s="2">
        <v>30</v>
      </c>
      <c r="G12" s="2">
        <v>3</v>
      </c>
      <c r="H12" s="2" t="s">
        <v>22</v>
      </c>
    </row>
    <row r="13" spans="1:8">
      <c r="A13" s="2">
        <v>12</v>
      </c>
      <c r="B13" s="2" t="s">
        <v>20</v>
      </c>
      <c r="C13" s="3">
        <v>1.2</v>
      </c>
      <c r="D13" s="4">
        <v>150000</v>
      </c>
      <c r="E13" s="4">
        <v>100000</v>
      </c>
      <c r="F13" s="2">
        <v>30</v>
      </c>
      <c r="G13" s="2">
        <v>2</v>
      </c>
      <c r="H13" s="2" t="s">
        <v>23</v>
      </c>
    </row>
    <row r="14" spans="1:8">
      <c r="A14" s="2">
        <v>13</v>
      </c>
      <c r="B14" s="2" t="s">
        <v>20</v>
      </c>
      <c r="C14" s="3">
        <v>1.2</v>
      </c>
      <c r="D14" s="4">
        <v>150000</v>
      </c>
      <c r="E14" s="4">
        <v>160000</v>
      </c>
      <c r="F14" s="2">
        <v>30</v>
      </c>
      <c r="G14" s="2">
        <v>0</v>
      </c>
      <c r="H14" s="2" t="s">
        <v>24</v>
      </c>
    </row>
    <row r="15" spans="1:8">
      <c r="A15" s="2">
        <v>14</v>
      </c>
      <c r="B15" s="2" t="s">
        <v>25</v>
      </c>
      <c r="C15" s="3">
        <v>1.2</v>
      </c>
      <c r="D15" s="4">
        <v>75000</v>
      </c>
      <c r="E15" s="4">
        <v>8000</v>
      </c>
      <c r="F15" s="2">
        <v>30</v>
      </c>
      <c r="G15" s="2">
        <v>4</v>
      </c>
      <c r="H15" s="2" t="s">
        <v>26</v>
      </c>
    </row>
    <row r="16" spans="1:8">
      <c r="A16" s="2">
        <v>15</v>
      </c>
      <c r="B16" s="2" t="s">
        <v>25</v>
      </c>
      <c r="C16" s="3">
        <v>1.2</v>
      </c>
      <c r="D16" s="4">
        <v>120000</v>
      </c>
      <c r="E16" s="4">
        <v>8000</v>
      </c>
      <c r="F16" s="2">
        <v>30</v>
      </c>
      <c r="G16" s="2">
        <v>5</v>
      </c>
      <c r="H16" s="2" t="s">
        <v>15</v>
      </c>
    </row>
    <row r="17" spans="1:8">
      <c r="A17" s="2">
        <v>16</v>
      </c>
      <c r="B17" s="2" t="s">
        <v>25</v>
      </c>
      <c r="C17" s="3">
        <v>1.2</v>
      </c>
      <c r="D17" s="4">
        <v>150000</v>
      </c>
      <c r="E17" s="4">
        <v>8000</v>
      </c>
      <c r="F17" s="2">
        <v>30</v>
      </c>
      <c r="G17" s="2">
        <v>5</v>
      </c>
      <c r="H17" s="2" t="s">
        <v>15</v>
      </c>
    </row>
    <row r="18" spans="1:8">
      <c r="A18" s="2">
        <v>17</v>
      </c>
      <c r="B18" s="2" t="s">
        <v>25</v>
      </c>
      <c r="C18" s="3">
        <v>1.2</v>
      </c>
      <c r="D18" s="4">
        <v>200000</v>
      </c>
      <c r="E18" s="4">
        <v>8000</v>
      </c>
      <c r="F18" s="2">
        <v>30</v>
      </c>
      <c r="G18" s="2">
        <v>6</v>
      </c>
      <c r="H18" s="2" t="s">
        <v>27</v>
      </c>
    </row>
    <row r="19" spans="1:8">
      <c r="A19" s="2">
        <v>18</v>
      </c>
      <c r="B19" s="2" t="s">
        <v>25</v>
      </c>
      <c r="C19" s="3">
        <v>1.2</v>
      </c>
      <c r="D19" s="4">
        <v>250000</v>
      </c>
      <c r="E19" s="4">
        <v>8000</v>
      </c>
      <c r="F19" s="2">
        <v>30</v>
      </c>
      <c r="G19" s="2">
        <v>6</v>
      </c>
      <c r="H19" s="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Модель</vt:lpstr>
      <vt:lpstr>Эксперимент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2026-09-28T22:55:05Z</dcterms:modified>
</cp:coreProperties>
</file>