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МДК 02.03 Практическая 1\"/>
    </mc:Choice>
  </mc:AlternateContent>
  <xr:revisionPtr revIDLastSave="0" documentId="13_ncr:1_{3815C994-C55B-40F8-BB85-1B292B47BDFB}" xr6:coauthVersionLast="47" xr6:coauthVersionMax="47" xr10:uidLastSave="{00000000-0000-0000-0000-000000000000}"/>
  <bookViews>
    <workbookView xWindow="38280" yWindow="-120" windowWidth="38640" windowHeight="21240" activeTab="1" xr2:uid="{00000000-000D-0000-FFFF-FFFF00000000}"/>
  </bookViews>
  <sheets>
    <sheet name="Модель" sheetId="1" r:id="rId1"/>
    <sheet name="Эксперимен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7" i="1"/>
  <c r="B6" i="1"/>
  <c r="B7" i="1" s="1"/>
  <c r="B8" i="1" l="1"/>
  <c r="D7" i="1"/>
  <c r="C7" i="1"/>
  <c r="D6" i="1"/>
  <c r="B9" i="1" l="1"/>
  <c r="D8" i="1"/>
  <c r="C8" i="1"/>
  <c r="B10" i="1" l="1"/>
  <c r="D9" i="1"/>
  <c r="C9" i="1"/>
  <c r="B11" i="1" l="1"/>
  <c r="D10" i="1"/>
  <c r="C10" i="1"/>
  <c r="B12" i="1" l="1"/>
  <c r="D11" i="1"/>
  <c r="C11" i="1"/>
  <c r="B13" i="1" l="1"/>
  <c r="D12" i="1"/>
  <c r="C12" i="1"/>
  <c r="B14" i="1" l="1"/>
  <c r="D13" i="1"/>
  <c r="C13" i="1"/>
  <c r="B15" i="1" l="1"/>
  <c r="D14" i="1"/>
  <c r="C14" i="1"/>
  <c r="C15" i="1" l="1"/>
  <c r="B16" i="1"/>
  <c r="D15" i="1"/>
  <c r="B17" i="1" l="1"/>
  <c r="D16" i="1"/>
  <c r="C16" i="1"/>
  <c r="B18" i="1" l="1"/>
  <c r="D17" i="1"/>
  <c r="C17" i="1"/>
  <c r="B19" i="1" l="1"/>
  <c r="D18" i="1"/>
  <c r="C18" i="1"/>
  <c r="B20" i="1" l="1"/>
  <c r="D19" i="1"/>
  <c r="C19" i="1"/>
  <c r="B21" i="1" l="1"/>
  <c r="D20" i="1"/>
  <c r="C20" i="1"/>
  <c r="B22" i="1" l="1"/>
  <c r="D21" i="1"/>
  <c r="C21" i="1"/>
  <c r="B23" i="1" l="1"/>
  <c r="D22" i="1"/>
  <c r="C22" i="1"/>
  <c r="B24" i="1" l="1"/>
  <c r="D23" i="1"/>
  <c r="C23" i="1"/>
  <c r="B25" i="1" l="1"/>
  <c r="D24" i="1"/>
  <c r="C24" i="1"/>
  <c r="B26" i="1" l="1"/>
  <c r="D25" i="1"/>
  <c r="C25" i="1"/>
  <c r="B27" i="1" l="1"/>
  <c r="D26" i="1"/>
  <c r="C26" i="1"/>
  <c r="B28" i="1" l="1"/>
  <c r="D27" i="1"/>
  <c r="C27" i="1"/>
  <c r="B29" i="1" l="1"/>
  <c r="D28" i="1"/>
  <c r="C28" i="1"/>
  <c r="B30" i="1" l="1"/>
  <c r="D29" i="1"/>
  <c r="C29" i="1"/>
  <c r="D30" i="1" l="1"/>
  <c r="C30" i="1"/>
</calcChain>
</file>

<file path=xl/sharedStrings.xml><?xml version="1.0" encoding="utf-8"?>
<sst xmlns="http://schemas.openxmlformats.org/spreadsheetml/2006/main" count="33" uniqueCount="15">
  <si>
    <t>a</t>
  </si>
  <si>
    <t>K</t>
  </si>
  <si>
    <t>N0</t>
  </si>
  <si>
    <t>t</t>
  </si>
  <si>
    <t>N(t)</t>
  </si>
  <si>
    <t>прирост</t>
  </si>
  <si>
    <t>доля насыщения</t>
  </si>
  <si>
    <t>№</t>
  </si>
  <si>
    <t>Серия</t>
  </si>
  <si>
    <t>T</t>
  </si>
  <si>
    <t>t* (0,95K)</t>
  </si>
  <si>
    <t>Наблюдение</t>
  </si>
  <si>
    <t>1: a</t>
  </si>
  <si>
    <t>2: N0</t>
  </si>
  <si>
    <t>3: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</si>
</sst>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0"/>
  </numFmts>
  <fonts count="4">
    <font>
      <sz val="11"/>
      <color theme="1"/>
      <name val="Calibri"/>
      <family val="2"/>
      <scheme val="minor"/>
    </font>
    <font>
      <sz val="11"/>
      <name val="Carlito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wrapText="1"/>
    </xf>
    <xf numFmtId="164" fontId="2" fillId="0" borderId="0" xfId="1" applyNumberFormat="1" applyFont="1" applyAlignment="1">
      <alignment wrapText="1"/>
    </xf>
    <xf numFmtId="0" fontId="3" fillId="2" borderId="0" xfId="1" applyFont="1" applyFill="1" applyAlignment="1">
      <alignment horizontal="center" vertical="center" wrapText="1"/>
    </xf>
    <xf numFmtId="1" fontId="2" fillId="0" borderId="0" xfId="1" applyNumberFormat="1" applyFont="1" applyAlignment="1">
      <alignment wrapText="1"/>
    </xf>
    <xf numFmtId="165" fontId="2" fillId="0" borderId="0" xfId="1" applyNumberFormat="1" applyFont="1" applyAlignment="1">
      <alignment wrapText="1"/>
    </xf>
    <xf numFmtId="166" fontId="2" fillId="0" borderId="0" xfId="1" applyNumberFormat="1" applyFont="1" applyAlignment="1">
      <alignment wrapText="1"/>
    </xf>
    <xf numFmtId="2" fontId="2" fillId="0" borderId="0" xfId="1" applyNumberFormat="1" applyFont="1" applyAlignment="1">
      <alignment wrapText="1"/>
    </xf>
    <xf numFmtId="3" fontId="2" fillId="0" borderId="0" xfId="1" applyNumberFormat="1" applyFont="1" applyAlignment="1">
      <alignment wrapText="1"/>
    </xf>
  </cellXfs>
  <cellStyles count="2">
    <cellStyle name="Normal" xfId="1" xr:uid="{6C396362-351C-4615-B4B1-D1F405E37DA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Базовая траектория </a:t>
            </a:r>
            <a:r>
              <a:rPr lang="en-US" sz="1800" b="0" i="0" baseline="0">
                <a:effectLst/>
              </a:rPr>
              <a:t>N(t)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Модель!$A$6:$A$36</c:f>
              <c:numCache>
                <c:formatCode>0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Модель!$B$6:$B$36</c:f>
              <c:numCache>
                <c:formatCode>#\ ##0.0</c:formatCode>
                <c:ptCount val="31"/>
                <c:pt idx="0">
                  <c:v>5000</c:v>
                </c:pt>
                <c:pt idx="1">
                  <c:v>7850</c:v>
                </c:pt>
                <c:pt idx="2">
                  <c:v>12190.264999999999</c:v>
                </c:pt>
                <c:pt idx="3">
                  <c:v>18612.808635378649</c:v>
                </c:pt>
                <c:pt idx="4">
                  <c:v>27701.873944822481</c:v>
                </c:pt>
                <c:pt idx="5">
                  <c:v>39718.635391386961</c:v>
                </c:pt>
                <c:pt idx="6">
                  <c:v>54084.396642095518</c:v>
                </c:pt>
                <c:pt idx="7">
                  <c:v>68984.302866515747</c:v>
                </c:pt>
                <c:pt idx="8">
                  <c:v>81821.880334550166</c:v>
                </c:pt>
                <c:pt idx="9">
                  <c:v>90746.087926391585</c:v>
                </c:pt>
                <c:pt idx="10">
                  <c:v>95784.625838560183</c:v>
                </c:pt>
                <c:pt idx="11">
                  <c:v>98207.234059498471</c:v>
                </c:pt>
                <c:pt idx="12">
                  <c:v>99263.609565494859</c:v>
                </c:pt>
                <c:pt idx="13">
                  <c:v>99702.190200965764</c:v>
                </c:pt>
                <c:pt idx="14">
                  <c:v>99880.343936327903</c:v>
                </c:pt>
                <c:pt idx="15">
                  <c:v>99952.05166908972</c:v>
                </c:pt>
                <c:pt idx="16">
                  <c:v>99980.806873381269</c:v>
                </c:pt>
                <c:pt idx="17">
                  <c:v>99992.320539095846</c:v>
                </c:pt>
                <c:pt idx="18">
                  <c:v>99996.927861793622</c:v>
                </c:pt>
                <c:pt idx="19">
                  <c:v>99998.771088089255</c:v>
                </c:pt>
                <c:pt idx="20">
                  <c:v>99999.508426174361</c:v>
                </c:pt>
                <c:pt idx="21">
                  <c:v>99999.803369019879</c:v>
                </c:pt>
                <c:pt idx="22">
                  <c:v>99999.921347375974</c:v>
                </c:pt>
                <c:pt idx="23">
                  <c:v>99999.968538913265</c:v>
                </c:pt>
                <c:pt idx="24">
                  <c:v>99999.987415559372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D-496F-AE4B-CE643B7F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438864"/>
        <c:axId val="447439280"/>
      </c:scatterChart>
      <c:valAx>
        <c:axId val="44743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439280"/>
        <c:crosses val="autoZero"/>
        <c:crossBetween val="midCat"/>
      </c:valAx>
      <c:valAx>
        <c:axId val="44743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baseline="0">
                    <a:effectLst/>
                  </a:rPr>
                  <a:t>Число пользователей </a:t>
                </a:r>
                <a:r>
                  <a:rPr lang="en-US" sz="1800" b="0" i="0" baseline="0">
                    <a:effectLst/>
                  </a:rPr>
                  <a:t>N(t)</a:t>
                </a:r>
                <a:endParaRPr lang="ru-RU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43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4</xdr:row>
      <xdr:rowOff>4762</xdr:rowOff>
    </xdr:from>
    <xdr:to>
      <xdr:col>17</xdr:col>
      <xdr:colOff>380999</xdr:colOff>
      <xdr:row>35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0B7FA3-DAFF-4962-A8F0-8A87A5A30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activeCell="D41" sqref="D41"/>
    </sheetView>
  </sheetViews>
  <sheetFormatPr defaultRowHeight="15"/>
  <cols>
    <col min="1" max="1" width="13.85546875" customWidth="1"/>
    <col min="2" max="2" width="20.85546875" customWidth="1"/>
    <col min="3" max="3" width="21.5703125" customWidth="1"/>
    <col min="4" max="4" width="21.42578125" customWidth="1"/>
  </cols>
  <sheetData>
    <row r="1" spans="1:4">
      <c r="A1" s="1" t="s">
        <v>0</v>
      </c>
      <c r="B1" s="2">
        <v>0.6</v>
      </c>
      <c r="C1" s="1"/>
      <c r="D1" s="1"/>
    </row>
    <row r="2" spans="1:4">
      <c r="A2" s="1" t="s">
        <v>1</v>
      </c>
      <c r="B2" s="2">
        <v>100000</v>
      </c>
      <c r="C2" s="1"/>
      <c r="D2" s="1"/>
    </row>
    <row r="3" spans="1:4">
      <c r="A3" s="1" t="s">
        <v>2</v>
      </c>
      <c r="B3" s="2">
        <v>5000</v>
      </c>
      <c r="C3" s="1"/>
      <c r="D3" s="1"/>
    </row>
    <row r="4" spans="1:4">
      <c r="A4" s="1"/>
      <c r="B4" s="2"/>
      <c r="C4" s="1"/>
      <c r="D4" s="1"/>
    </row>
    <row r="5" spans="1:4" ht="12.75" customHeight="1">
      <c r="A5" s="3" t="s">
        <v>3</v>
      </c>
      <c r="B5" s="3" t="s">
        <v>4</v>
      </c>
      <c r="C5" s="3" t="s">
        <v>5</v>
      </c>
      <c r="D5" s="3" t="s">
        <v>6</v>
      </c>
    </row>
    <row r="6" spans="1:4">
      <c r="A6" s="4">
        <v>0</v>
      </c>
      <c r="B6" s="5">
        <f>$B$3</f>
        <v>5000</v>
      </c>
      <c r="C6" s="5"/>
      <c r="D6" s="6">
        <f t="shared" ref="D6" si="0">B6/$B$3</f>
        <v>1</v>
      </c>
    </row>
    <row r="7" spans="1:4">
      <c r="A7" s="4">
        <f t="shared" ref="A7:A30" si="1">A6+1</f>
        <v>1</v>
      </c>
      <c r="B7" s="5">
        <f>B6+$B$1*B6*(1-B6/$B$2)</f>
        <v>7850</v>
      </c>
      <c r="C7" s="5">
        <f t="shared" ref="C7:C30" si="2">B7-B6</f>
        <v>2850</v>
      </c>
      <c r="D7" s="6">
        <f>B7/$B$2</f>
        <v>7.85E-2</v>
      </c>
    </row>
    <row r="8" spans="1:4">
      <c r="A8" s="4">
        <f t="shared" si="1"/>
        <v>2</v>
      </c>
      <c r="B8" s="5">
        <f t="shared" ref="B8:B30" si="3">B7+$B$1*B7*(1-B7/$B$2)</f>
        <v>12190.264999999999</v>
      </c>
      <c r="C8" s="5">
        <f t="shared" si="2"/>
        <v>4340.2649999999994</v>
      </c>
      <c r="D8" s="6">
        <f t="shared" ref="D8:D30" si="4">B8/$B$2</f>
        <v>0.12190264999999999</v>
      </c>
    </row>
    <row r="9" spans="1:4">
      <c r="A9" s="4">
        <f t="shared" si="1"/>
        <v>3</v>
      </c>
      <c r="B9" s="5">
        <f t="shared" si="3"/>
        <v>18612.808635378649</v>
      </c>
      <c r="C9" s="5">
        <f t="shared" si="2"/>
        <v>6422.5436353786499</v>
      </c>
      <c r="D9" s="6">
        <f t="shared" si="4"/>
        <v>0.1861280863537865</v>
      </c>
    </row>
    <row r="10" spans="1:4">
      <c r="A10" s="4">
        <f t="shared" si="1"/>
        <v>4</v>
      </c>
      <c r="B10" s="5">
        <f t="shared" si="3"/>
        <v>27701.873944822481</v>
      </c>
      <c r="C10" s="5">
        <f t="shared" si="2"/>
        <v>9089.0653094438312</v>
      </c>
      <c r="D10" s="6">
        <f t="shared" si="4"/>
        <v>0.2770187394482248</v>
      </c>
    </row>
    <row r="11" spans="1:4">
      <c r="A11" s="4">
        <f t="shared" si="1"/>
        <v>5</v>
      </c>
      <c r="B11" s="5">
        <f t="shared" si="3"/>
        <v>39718.635391386961</v>
      </c>
      <c r="C11" s="5">
        <f t="shared" si="2"/>
        <v>12016.76144656448</v>
      </c>
      <c r="D11" s="6">
        <f t="shared" si="4"/>
        <v>0.39718635391386958</v>
      </c>
    </row>
    <row r="12" spans="1:4">
      <c r="A12" s="4">
        <f t="shared" si="1"/>
        <v>6</v>
      </c>
      <c r="B12" s="5">
        <f t="shared" si="3"/>
        <v>54084.396642095518</v>
      </c>
      <c r="C12" s="5">
        <f t="shared" si="2"/>
        <v>14365.761250708558</v>
      </c>
      <c r="D12" s="6">
        <f t="shared" si="4"/>
        <v>0.54084396642095522</v>
      </c>
    </row>
    <row r="13" spans="1:4">
      <c r="A13" s="4">
        <f t="shared" si="1"/>
        <v>7</v>
      </c>
      <c r="B13" s="5">
        <f t="shared" si="3"/>
        <v>68984.302866515747</v>
      </c>
      <c r="C13" s="5">
        <f t="shared" si="2"/>
        <v>14899.906224420229</v>
      </c>
      <c r="D13" s="6">
        <f t="shared" si="4"/>
        <v>0.68984302866515745</v>
      </c>
    </row>
    <row r="14" spans="1:4">
      <c r="A14" s="4">
        <f t="shared" si="1"/>
        <v>8</v>
      </c>
      <c r="B14" s="5">
        <f t="shared" si="3"/>
        <v>81821.880334550166</v>
      </c>
      <c r="C14" s="5">
        <f t="shared" si="2"/>
        <v>12837.577468034418</v>
      </c>
      <c r="D14" s="6">
        <f t="shared" si="4"/>
        <v>0.81821880334550168</v>
      </c>
    </row>
    <row r="15" spans="1:4">
      <c r="A15" s="4">
        <f t="shared" si="1"/>
        <v>9</v>
      </c>
      <c r="B15" s="5">
        <f t="shared" si="3"/>
        <v>90746.087926391585</v>
      </c>
      <c r="C15" s="5">
        <f t="shared" si="2"/>
        <v>8924.2075918414193</v>
      </c>
      <c r="D15" s="6">
        <f t="shared" si="4"/>
        <v>0.90746087926391583</v>
      </c>
    </row>
    <row r="16" spans="1:4">
      <c r="A16" s="4">
        <f t="shared" si="1"/>
        <v>10</v>
      </c>
      <c r="B16" s="5">
        <f t="shared" si="3"/>
        <v>95784.625838560183</v>
      </c>
      <c r="C16" s="5">
        <f t="shared" si="2"/>
        <v>5038.5379121685983</v>
      </c>
      <c r="D16" s="6">
        <f t="shared" si="4"/>
        <v>0.95784625838560178</v>
      </c>
    </row>
    <row r="17" spans="1:4">
      <c r="A17" s="4">
        <f t="shared" si="1"/>
        <v>11</v>
      </c>
      <c r="B17" s="5">
        <f t="shared" si="3"/>
        <v>98207.234059498471</v>
      </c>
      <c r="C17" s="5">
        <f t="shared" si="2"/>
        <v>2422.6082209382876</v>
      </c>
      <c r="D17" s="6">
        <f t="shared" si="4"/>
        <v>0.98207234059498472</v>
      </c>
    </row>
    <row r="18" spans="1:4">
      <c r="A18" s="4">
        <f t="shared" si="1"/>
        <v>12</v>
      </c>
      <c r="B18" s="5">
        <f t="shared" si="3"/>
        <v>99263.609565494859</v>
      </c>
      <c r="C18" s="5">
        <f t="shared" si="2"/>
        <v>1056.3755059963878</v>
      </c>
      <c r="D18" s="6">
        <f t="shared" si="4"/>
        <v>0.99263609565494859</v>
      </c>
    </row>
    <row r="19" spans="1:4">
      <c r="A19" s="4">
        <f t="shared" si="1"/>
        <v>13</v>
      </c>
      <c r="B19" s="5">
        <f t="shared" si="3"/>
        <v>99702.190200965764</v>
      </c>
      <c r="C19" s="5">
        <f t="shared" si="2"/>
        <v>438.58063547090569</v>
      </c>
      <c r="D19" s="6">
        <f t="shared" si="4"/>
        <v>0.99702190200965768</v>
      </c>
    </row>
    <row r="20" spans="1:4">
      <c r="A20" s="4">
        <f t="shared" si="1"/>
        <v>14</v>
      </c>
      <c r="B20" s="5">
        <f t="shared" si="3"/>
        <v>99880.343936327903</v>
      </c>
      <c r="C20" s="5">
        <f t="shared" si="2"/>
        <v>178.15373536213883</v>
      </c>
      <c r="D20" s="6">
        <f t="shared" si="4"/>
        <v>0.99880343936327898</v>
      </c>
    </row>
    <row r="21" spans="1:4">
      <c r="A21" s="4">
        <f t="shared" si="1"/>
        <v>15</v>
      </c>
      <c r="B21" s="5">
        <f t="shared" si="3"/>
        <v>99952.05166908972</v>
      </c>
      <c r="C21" s="5">
        <f t="shared" si="2"/>
        <v>71.707732761817169</v>
      </c>
      <c r="D21" s="6">
        <f t="shared" si="4"/>
        <v>0.99952051669089725</v>
      </c>
    </row>
    <row r="22" spans="1:4">
      <c r="A22" s="4">
        <f t="shared" si="1"/>
        <v>16</v>
      </c>
      <c r="B22" s="5">
        <f t="shared" si="3"/>
        <v>99980.806873381269</v>
      </c>
      <c r="C22" s="5">
        <f t="shared" si="2"/>
        <v>28.75520429154858</v>
      </c>
      <c r="D22" s="6">
        <f t="shared" si="4"/>
        <v>0.99980806873381267</v>
      </c>
    </row>
    <row r="23" spans="1:4">
      <c r="A23" s="4">
        <f t="shared" si="1"/>
        <v>17</v>
      </c>
      <c r="B23" s="5">
        <f t="shared" si="3"/>
        <v>99992.320539095846</v>
      </c>
      <c r="C23" s="5">
        <f t="shared" si="2"/>
        <v>11.513665714577655</v>
      </c>
      <c r="D23" s="6">
        <f t="shared" si="4"/>
        <v>0.99992320539095847</v>
      </c>
    </row>
    <row r="24" spans="1:4">
      <c r="A24" s="4">
        <f t="shared" si="1"/>
        <v>18</v>
      </c>
      <c r="B24" s="5">
        <f t="shared" si="3"/>
        <v>99996.927861793622</v>
      </c>
      <c r="C24" s="5">
        <f t="shared" si="2"/>
        <v>4.6073226977750892</v>
      </c>
      <c r="D24" s="6">
        <f t="shared" si="4"/>
        <v>0.99996927861793616</v>
      </c>
    </row>
    <row r="25" spans="1:4">
      <c r="A25" s="4">
        <f t="shared" si="1"/>
        <v>19</v>
      </c>
      <c r="B25" s="5">
        <f t="shared" si="3"/>
        <v>99998.771088089255</v>
      </c>
      <c r="C25" s="5">
        <f t="shared" si="2"/>
        <v>1.84322629563394</v>
      </c>
      <c r="D25" s="6">
        <f t="shared" si="4"/>
        <v>0.99998771088089256</v>
      </c>
    </row>
    <row r="26" spans="1:4">
      <c r="A26" s="4">
        <f t="shared" si="1"/>
        <v>20</v>
      </c>
      <c r="B26" s="5">
        <f t="shared" si="3"/>
        <v>99999.508426174361</v>
      </c>
      <c r="C26" s="5">
        <f t="shared" si="2"/>
        <v>0.73733808510587551</v>
      </c>
      <c r="D26" s="6">
        <f t="shared" si="4"/>
        <v>0.99999508426174366</v>
      </c>
    </row>
    <row r="27" spans="1:4">
      <c r="A27" s="4">
        <f t="shared" si="1"/>
        <v>21</v>
      </c>
      <c r="B27" s="5">
        <f t="shared" si="3"/>
        <v>99999.803369019879</v>
      </c>
      <c r="C27" s="5">
        <f t="shared" si="2"/>
        <v>0.29494284551765304</v>
      </c>
      <c r="D27" s="6">
        <f t="shared" si="4"/>
        <v>0.9999980336901988</v>
      </c>
    </row>
    <row r="28" spans="1:4">
      <c r="A28" s="4">
        <f t="shared" si="1"/>
        <v>22</v>
      </c>
      <c r="B28" s="5">
        <f t="shared" si="3"/>
        <v>99999.921347375974</v>
      </c>
      <c r="C28" s="5">
        <f t="shared" si="2"/>
        <v>0.11797835609468166</v>
      </c>
      <c r="D28" s="6">
        <f t="shared" si="4"/>
        <v>0.99999921347375975</v>
      </c>
    </row>
    <row r="29" spans="1:4">
      <c r="A29" s="4">
        <f t="shared" si="1"/>
        <v>23</v>
      </c>
      <c r="B29" s="5">
        <f t="shared" si="3"/>
        <v>99999.968538913265</v>
      </c>
      <c r="C29" s="5">
        <f t="shared" si="2"/>
        <v>4.7191537290927954E-2</v>
      </c>
      <c r="D29" s="6">
        <f t="shared" si="4"/>
        <v>0.99999968538913264</v>
      </c>
    </row>
    <row r="30" spans="1:4">
      <c r="A30" s="4">
        <f t="shared" si="1"/>
        <v>24</v>
      </c>
      <c r="B30" s="5">
        <f t="shared" si="3"/>
        <v>99999.987415559372</v>
      </c>
      <c r="C30" s="5">
        <f t="shared" si="2"/>
        <v>1.8876646106946282E-2</v>
      </c>
      <c r="D30" s="6">
        <f t="shared" si="4"/>
        <v>0.99999987415559377</v>
      </c>
    </row>
    <row r="31" spans="1:4">
      <c r="A31" s="4"/>
      <c r="B31" s="5"/>
      <c r="C31" s="5"/>
      <c r="D31" s="6"/>
    </row>
    <row r="32" spans="1:4">
      <c r="A32" s="4"/>
      <c r="B32" s="5"/>
      <c r="C32" s="5"/>
      <c r="D32" s="6"/>
    </row>
    <row r="33" spans="1:4">
      <c r="A33" s="4"/>
      <c r="B33" s="5"/>
      <c r="C33" s="5"/>
      <c r="D33" s="6"/>
    </row>
    <row r="34" spans="1:4">
      <c r="A34" s="4"/>
      <c r="B34" s="5"/>
      <c r="C34" s="5"/>
      <c r="D34" s="6"/>
    </row>
    <row r="35" spans="1:4">
      <c r="A35" s="4"/>
      <c r="B35" s="5"/>
      <c r="C35" s="5"/>
      <c r="D35" s="6"/>
    </row>
    <row r="36" spans="1:4">
      <c r="A36" s="4"/>
      <c r="B36" s="5"/>
      <c r="C36" s="5"/>
      <c r="D36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86DD-D34B-4535-B063-F5BC9A78413B}">
  <dimension ref="A1:H19"/>
  <sheetViews>
    <sheetView tabSelected="1" workbookViewId="0">
      <selection activeCell="H17" sqref="H17"/>
    </sheetView>
  </sheetViews>
  <sheetFormatPr defaultRowHeight="15"/>
  <cols>
    <col min="8" max="8" width="75.28515625" customWidth="1"/>
  </cols>
  <sheetData>
    <row r="1" spans="1:8" ht="28.5">
      <c r="A1" s="3" t="s">
        <v>7</v>
      </c>
      <c r="B1" s="3" t="s">
        <v>8</v>
      </c>
      <c r="C1" s="3" t="s">
        <v>0</v>
      </c>
      <c r="D1" s="3" t="s">
        <v>1</v>
      </c>
      <c r="E1" s="3" t="s">
        <v>2</v>
      </c>
      <c r="F1" s="3" t="s">
        <v>9</v>
      </c>
      <c r="G1" s="3" t="s">
        <v>10</v>
      </c>
      <c r="H1" s="3" t="s">
        <v>11</v>
      </c>
    </row>
    <row r="2" spans="1:8" ht="20.25" customHeight="1">
      <c r="A2" s="1">
        <v>1</v>
      </c>
      <c r="B2" s="1" t="s">
        <v>12</v>
      </c>
      <c r="C2" s="7">
        <v>0.3</v>
      </c>
      <c r="D2" s="8">
        <v>100000</v>
      </c>
      <c r="E2" s="8">
        <v>5000</v>
      </c>
      <c r="F2" s="1">
        <v>24</v>
      </c>
      <c r="G2" s="1"/>
      <c r="H2" s="1"/>
    </row>
    <row r="3" spans="1:8" ht="30.75" customHeight="1">
      <c r="A3" s="1">
        <v>2</v>
      </c>
      <c r="B3" s="1" t="s">
        <v>12</v>
      </c>
      <c r="C3" s="7">
        <v>0.9</v>
      </c>
      <c r="D3" s="8">
        <v>100000</v>
      </c>
      <c r="E3" s="8">
        <v>5000</v>
      </c>
      <c r="F3" s="1">
        <v>24</v>
      </c>
      <c r="G3" s="1"/>
      <c r="H3" s="1"/>
    </row>
    <row r="4" spans="1:8">
      <c r="A4" s="1">
        <v>3</v>
      </c>
      <c r="B4" s="1" t="s">
        <v>12</v>
      </c>
      <c r="C4" s="7">
        <v>1.2</v>
      </c>
      <c r="D4" s="8">
        <v>100000</v>
      </c>
      <c r="E4" s="8">
        <v>5000</v>
      </c>
      <c r="F4" s="1">
        <v>24</v>
      </c>
      <c r="G4" s="1"/>
      <c r="H4" s="1"/>
    </row>
    <row r="5" spans="1:8">
      <c r="A5" s="1">
        <v>4</v>
      </c>
      <c r="B5" s="1" t="s">
        <v>12</v>
      </c>
      <c r="C5" s="7">
        <v>1.5</v>
      </c>
      <c r="D5" s="8">
        <v>100000</v>
      </c>
      <c r="E5" s="8">
        <v>5000</v>
      </c>
      <c r="F5" s="1">
        <v>24</v>
      </c>
      <c r="G5" s="1"/>
      <c r="H5" s="1"/>
    </row>
    <row r="6" spans="1:8">
      <c r="A6" s="1">
        <v>5</v>
      </c>
      <c r="B6" s="1" t="s">
        <v>12</v>
      </c>
      <c r="C6" s="7">
        <v>1.8</v>
      </c>
      <c r="D6" s="8">
        <v>100000</v>
      </c>
      <c r="E6" s="8">
        <v>5000</v>
      </c>
      <c r="F6" s="1">
        <v>24</v>
      </c>
      <c r="G6" s="1"/>
      <c r="H6" s="1"/>
    </row>
    <row r="7" spans="1:8">
      <c r="A7" s="1">
        <v>6</v>
      </c>
      <c r="B7" s="1" t="s">
        <v>12</v>
      </c>
      <c r="C7" s="7">
        <v>2.1</v>
      </c>
      <c r="D7" s="8">
        <v>100000</v>
      </c>
      <c r="E7" s="8">
        <v>5000</v>
      </c>
      <c r="F7" s="1">
        <v>24</v>
      </c>
      <c r="G7" s="1"/>
      <c r="H7" s="1"/>
    </row>
    <row r="8" spans="1:8">
      <c r="A8" s="1">
        <v>7</v>
      </c>
      <c r="B8" s="1" t="s">
        <v>12</v>
      </c>
      <c r="C8" s="7">
        <v>2.4</v>
      </c>
      <c r="D8" s="8">
        <v>100000</v>
      </c>
      <c r="E8" s="8">
        <v>5000</v>
      </c>
      <c r="F8" s="1">
        <v>24</v>
      </c>
      <c r="G8" s="1"/>
      <c r="H8" s="1"/>
    </row>
    <row r="9" spans="1:8">
      <c r="A9" s="1">
        <v>8</v>
      </c>
      <c r="B9" s="1" t="s">
        <v>12</v>
      </c>
      <c r="C9" s="7">
        <v>2.7</v>
      </c>
      <c r="D9" s="8">
        <v>100000</v>
      </c>
      <c r="E9" s="8">
        <v>5000</v>
      </c>
      <c r="F9" s="1">
        <v>24</v>
      </c>
      <c r="G9" s="1"/>
      <c r="H9" s="1"/>
    </row>
    <row r="10" spans="1:8">
      <c r="A10" s="1">
        <v>9</v>
      </c>
      <c r="B10" s="1" t="s">
        <v>13</v>
      </c>
      <c r="C10" s="7"/>
      <c r="D10" s="8"/>
      <c r="E10" s="8"/>
      <c r="F10" s="1">
        <v>24</v>
      </c>
      <c r="G10" s="1"/>
      <c r="H10" s="1"/>
    </row>
    <row r="11" spans="1:8">
      <c r="A11" s="1">
        <v>10</v>
      </c>
      <c r="B11" s="1" t="s">
        <v>13</v>
      </c>
      <c r="C11" s="7"/>
      <c r="D11" s="8"/>
      <c r="E11" s="8"/>
      <c r="F11" s="1">
        <v>24</v>
      </c>
      <c r="G11" s="1"/>
      <c r="H11" s="1"/>
    </row>
    <row r="12" spans="1:8">
      <c r="A12" s="1">
        <v>11</v>
      </c>
      <c r="B12" s="1" t="s">
        <v>13</v>
      </c>
      <c r="C12" s="7"/>
      <c r="D12" s="8"/>
      <c r="E12" s="8"/>
      <c r="F12" s="1">
        <v>24</v>
      </c>
      <c r="G12" s="1"/>
      <c r="H12" s="1"/>
    </row>
    <row r="13" spans="1:8">
      <c r="A13" s="1">
        <v>12</v>
      </c>
      <c r="B13" s="1" t="s">
        <v>13</v>
      </c>
      <c r="C13" s="7"/>
      <c r="D13" s="8"/>
      <c r="E13" s="8"/>
      <c r="F13" s="1">
        <v>24</v>
      </c>
      <c r="G13" s="1"/>
      <c r="H13" s="1"/>
    </row>
    <row r="14" spans="1:8">
      <c r="A14" s="1">
        <v>13</v>
      </c>
      <c r="B14" s="1" t="s">
        <v>13</v>
      </c>
      <c r="C14" s="7"/>
      <c r="D14" s="8"/>
      <c r="E14" s="8"/>
      <c r="F14" s="1">
        <v>24</v>
      </c>
      <c r="G14" s="1"/>
      <c r="H14" s="1"/>
    </row>
    <row r="15" spans="1:8">
      <c r="A15" s="1">
        <v>14</v>
      </c>
      <c r="B15" s="1" t="s">
        <v>14</v>
      </c>
      <c r="C15" s="7"/>
      <c r="D15" s="8"/>
      <c r="E15" s="8"/>
      <c r="F15" s="1">
        <v>24</v>
      </c>
      <c r="G15" s="1"/>
      <c r="H15" s="1"/>
    </row>
    <row r="16" spans="1:8">
      <c r="A16" s="1">
        <v>15</v>
      </c>
      <c r="B16" s="1" t="s">
        <v>14</v>
      </c>
      <c r="C16" s="7"/>
      <c r="D16" s="8"/>
      <c r="E16" s="8"/>
      <c r="F16" s="1">
        <v>24</v>
      </c>
      <c r="G16" s="1"/>
      <c r="H16" s="1"/>
    </row>
    <row r="17" spans="1:8">
      <c r="A17" s="1">
        <v>16</v>
      </c>
      <c r="B17" s="1" t="s">
        <v>14</v>
      </c>
      <c r="C17" s="7"/>
      <c r="D17" s="8"/>
      <c r="E17" s="8"/>
      <c r="F17" s="1">
        <v>24</v>
      </c>
      <c r="G17" s="1"/>
      <c r="H17" s="1"/>
    </row>
    <row r="18" spans="1:8">
      <c r="A18" s="1">
        <v>17</v>
      </c>
      <c r="B18" s="1" t="s">
        <v>14</v>
      </c>
      <c r="C18" s="7"/>
      <c r="D18" s="8"/>
      <c r="E18" s="8"/>
      <c r="F18" s="1">
        <v>24</v>
      </c>
      <c r="G18" s="1"/>
      <c r="H18" s="1"/>
    </row>
    <row r="19" spans="1:8">
      <c r="A19" s="1">
        <v>18</v>
      </c>
      <c r="B19" s="1" t="s">
        <v>14</v>
      </c>
      <c r="C19" s="7"/>
      <c r="D19" s="8"/>
      <c r="E19" s="8"/>
      <c r="F19" s="1">
        <v>24</v>
      </c>
      <c r="G19" s="1"/>
      <c r="H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Модель</vt:lpstr>
      <vt:lpstr>Эксперимент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2026-09-28T23:42:28Z</dcterms:modified>
</cp:coreProperties>
</file>