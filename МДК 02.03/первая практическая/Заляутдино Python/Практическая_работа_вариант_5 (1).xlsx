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ef7072557e4c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одель" sheetId="1" r:id="R506ddb424f0d46a2"/>
    <x:sheet xmlns:r="http://schemas.openxmlformats.org/officeDocument/2006/relationships" name="Эксперимент" sheetId="2" r:id="R6c3d9124f09b43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"/>
    <x:numFmt numFmtId="202" formatCode="#,##0.0"/>
    <x:numFmt numFmtId="203" formatCode="0.0000"/>
    <x:numFmt numFmtId="204" formatCode="#,##0"/>
    <x:numFmt numFmtId="205" formatCode="0.0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bc1ee54ec848e4" /><Relationship Type="http://schemas.openxmlformats.org/officeDocument/2006/relationships/theme" Target="/xl/theme/theme1.xml" Id="Ra13114e92c614029" /><Relationship Type="http://schemas.openxmlformats.org/officeDocument/2006/relationships/sharedStrings" Target="/xl/sharedStrings.xml" Id="R6c5ee6d08aa3460b" /><Relationship Type="http://schemas.openxmlformats.org/officeDocument/2006/relationships/worksheet" Target="/xl/worksheets/sheet1.xml" Id="R506ddb424f0d46a2" /><Relationship Type="http://schemas.openxmlformats.org/officeDocument/2006/relationships/worksheet" Target="/xl/worksheets/sheet2.xml" Id="R6c3d9124f09b43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351c0c008764e6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Базовая траектория N(t)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'Модель'!$A$6:$A$36</c:f>
              <c:strCache>
                <c:ptCount val="0"/>
              </c:strCache>
            </c:strRef>
          </c:cat>
          <c:val>
            <c:numRef>
              <c:f>'Модель'!$B$6:$B$36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51c0c008764e6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e82c8b50a9645a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0" t="str">
        <x:v>Параметр</x:v>
      </x:c>
      <x:c r="B1" s="10" t="str">
        <x:v>Значение</x:v>
      </x:c>
      <x:c r="C1" s="11"/>
      <x:c r="D1" s="11"/>
      <x:c r="E1" s="11"/>
    </x:row>
    <x:row r="2">
      <x:c r="A2" s="11" t="str">
        <x:v>a</x:v>
      </x:c>
      <x:c r="B2" s="14" t="n">
        <x:v>1.2</x:v>
      </x:c>
      <x:c r="C2" s="11"/>
      <x:c r="D2" s="11"/>
      <x:c r="E2" s="11"/>
    </x:row>
    <x:row r="3">
      <x:c r="A3" s="11" t="str">
        <x:v>K</x:v>
      </x:c>
      <x:c r="B3" s="14" t="n">
        <x:v>150000</x:v>
      </x:c>
      <x:c r="C3" s="11"/>
      <x:c r="D3" s="11"/>
      <x:c r="E3" s="11"/>
    </x:row>
    <x:row r="4">
      <x:c r="A4" s="11" t="str">
        <x:v>N0</x:v>
      </x:c>
      <x:c r="B4" s="14" t="n">
        <x:v>8000</x:v>
      </x:c>
      <x:c r="C4" s="11"/>
      <x:c r="D4" s="11"/>
      <x:c r="E4" s="11"/>
    </x:row>
    <x:row r="5">
      <x:c r="A5" s="10" t="str">
        <x:v>t</x:v>
      </x:c>
      <x:c r="B5" s="10" t="str">
        <x:v>N(t)</x:v>
      </x:c>
      <x:c r="C5" s="10" t="str">
        <x:v>прирост</x:v>
      </x:c>
      <x:c r="D5" s="10" t="str">
        <x:v>доля насыщения</x:v>
      </x:c>
      <x:c r="E5" s="10" t="str">
        <x:v>K</x:v>
      </x:c>
    </x:row>
    <x:row r="6">
      <x:c r="A6" s="16" t="n">
        <x:v>0</x:v>
      </x:c>
      <x:c r="B6" s="18" t="n">
        <x:f>$B$4</x:f>
        <x:v>8000</x:v>
      </x:c>
      <x:c r="C6" s="18"/>
      <x:c r="D6" s="20" t="n">
        <x:f>B6/$B$3</x:f>
        <x:v>0.05333333333333334</x:v>
      </x:c>
      <x:c r="E6" s="22" t="n">
        <x:f>$B$3</x:f>
        <x:v>150000</x:v>
      </x:c>
    </x:row>
    <x:row r="7">
      <x:c r="A7" s="16" t="n">
        <x:f>A6+1</x:f>
        <x:v>1</x:v>
      </x:c>
      <x:c r="B7" s="18" t="n">
        <x:f>B6+$B$2*B6*(1-B6/$B$3)</x:f>
        <x:v>17088</x:v>
      </x:c>
      <x:c r="C7" s="18" t="n">
        <x:f>B7-B6</x:f>
        <x:v>9088</x:v>
      </x:c>
      <x:c r="D7" s="20" t="n">
        <x:f>B7/$B$3</x:f>
        <x:v>0.11392</x:v>
      </x:c>
      <x:c r="E7" s="22" t="n">
        <x:f>$B$3</x:f>
        <x:v>150000</x:v>
      </x:c>
    </x:row>
    <x:row r="8">
      <x:c r="A8" s="16" t="n">
        <x:f>A7+1</x:f>
        <x:v>2</x:v>
      </x:c>
      <x:c r="B8" s="18" t="n">
        <x:f>B7+$B$2*B7*(1-B7/$B$3)</x:f>
        <x:v>35257.602048</x:v>
      </x:c>
      <x:c r="C8" s="18" t="n">
        <x:f>B8-B7</x:f>
        <x:v>18169.602048</x:v>
      </x:c>
      <x:c r="D8" s="20" t="n">
        <x:f>B8/$B$3</x:f>
        <x:v>0.23505068032</x:v>
      </x:c>
      <x:c r="E8" s="22" t="n">
        <x:f>$B$3</x:f>
        <x:v>150000</x:v>
      </x:c>
    </x:row>
    <x:row r="9">
      <x:c r="A9" s="16" t="n">
        <x:f>A8+1</x:f>
        <x:v>3</x:v>
      </x:c>
      <x:c r="B9" s="18" t="n">
        <x:f>B8+$B$2*B8*(1-B8/$B$3)</x:f>
        <x:v>67621.93648819893</x:v>
      </x:c>
      <x:c r="C9" s="18" t="n">
        <x:f>B9-B8</x:f>
        <x:v>32364.33444019893</x:v>
      </x:c>
      <x:c r="D9" s="20" t="n">
        <x:f>B9/$B$3</x:f>
        <x:v>0.4508129099213262</x:v>
      </x:c>
      <x:c r="E9" s="22" t="n">
        <x:f>$B$3</x:f>
        <x:v>150000</x:v>
      </x:c>
    </x:row>
    <x:row r="10">
      <x:c r="A10" s="16" t="n">
        <x:f>A9+1</x:f>
        <x:v>4</x:v>
      </x:c>
      <x:c r="B10" s="18" t="n">
        <x:f>B9+$B$2*B9*(1-B9/$B$3)</x:f>
        <x:v>112186.44991872556</x:v>
      </x:c>
      <x:c r="C10" s="18" t="n">
        <x:f>B10-B9</x:f>
        <x:v>44564.513430526626</x:v>
      </x:c>
      <x:c r="D10" s="20" t="n">
        <x:f>B10/$B$3</x:f>
        <x:v>0.747909666124837</x:v>
      </x:c>
      <x:c r="E10" s="22" t="n">
        <x:f>$B$3</x:f>
        <x:v>150000</x:v>
      </x:c>
    </x:row>
    <x:row r="11">
      <x:c r="A11" s="16" t="n">
        <x:f>A10+1</x:f>
        <x:v>5</x:v>
      </x:c>
      <x:c r="B11" s="18" t="n">
        <x:f>B10+$B$2*B10*(1-B10/$B$3)</x:f>
        <x:v>146123.7934582625</x:v>
      </x:c>
      <x:c r="C11" s="18" t="n">
        <x:f>B11-B10</x:f>
        <x:v>33937.34353953693</x:v>
      </x:c>
      <x:c r="D11" s="20" t="n">
        <x:f>B11/$B$3</x:f>
        <x:v>0.9741586230550833</x:v>
      </x:c>
      <x:c r="E11" s="22" t="n">
        <x:f>$B$3</x:f>
        <x:v>150000</x:v>
      </x:c>
    </x:row>
    <x:row r="12">
      <x:c r="A12" s="16" t="n">
        <x:f>A11+1</x:f>
        <x:v>6</x:v>
      </x:c>
      <x:c r="B12" s="18" t="n">
        <x:f>B11+$B$2*B11*(1-B11/$B$3)</x:f>
        <x:v>150655.04149111384</x:v>
      </x:c>
      <x:c r="C12" s="18" t="n">
        <x:f>B12-B11</x:f>
        <x:v>4531.248032851348</x:v>
      </x:c>
      <x:c r="D12" s="20" t="n">
        <x:f>B12/$B$3</x:f>
        <x:v>1.0043669432740923</x:v>
      </x:c>
      <x:c r="E12" s="22" t="n">
        <x:f>$B$3</x:f>
        <x:v>150000</x:v>
      </x:c>
    </x:row>
    <x:row r="13">
      <x:c r="A13" s="16" t="n">
        <x:f>A12+1</x:f>
        <x:v>7</x:v>
      </x:c>
      <x:c r="B13" s="18" t="n">
        <x:f>B12+$B$2*B12*(1-B12/$B$3)</x:f>
        <x:v>149865.55906693658</x:v>
      </x:c>
      <x:c r="C13" s="18" t="n">
        <x:f>B13-B12</x:f>
        <x:v>-789.4824241772585</x:v>
      </x:c>
      <x:c r="D13" s="20" t="n">
        <x:f>B13/$B$3</x:f>
        <x:v>0.9991037271129105</x:v>
      </x:c>
      <x:c r="E13" s="22" t="n">
        <x:f>$B$3</x:f>
        <x:v>150000</x:v>
      </x:c>
    </x:row>
    <x:row r="14">
      <x:c r="A14" s="16" t="n">
        <x:f>A13+1</x:f>
        <x:v>8</x:v>
      </x:c>
      <x:c r="B14" s="18" t="n">
        <x:f>B13+$B$2*B13*(1-B13/$B$3)</x:f>
        <x:v>150026.7435916968</x:v>
      </x:c>
      <x:c r="C14" s="18" t="n">
        <x:f>B14-B13</x:f>
        <x:v>161.1845247602323</x:v>
      </x:c>
      <x:c r="D14" s="20" t="n">
        <x:f>B14/$B$3</x:f>
        <x:v>1.0001782906113121</x:v>
      </x:c>
      <x:c r="E14" s="22" t="n">
        <x:f>$B$3</x:f>
        <x:v>150000</x:v>
      </x:c>
    </x:row>
    <x:row r="15">
      <x:c r="A15" s="16" t="n">
        <x:f>A14+1</x:f>
        <x:v>9</x:v>
      </x:c>
      <x:c r="B15" s="18" t="n">
        <x:f>B14+$B$2*B14*(1-B14/$B$3)</x:f>
        <x:v>149994.64555990306</x:v>
      </x:c>
      <x:c r="C15" s="18" t="n">
        <x:f>B15-B14</x:f>
        <x:v>-32.098031793750124</x:v>
      </x:c>
      <x:c r="D15" s="20" t="n">
        <x:f>B15/$B$3</x:f>
        <x:v>0.9999643037326871</x:v>
      </x:c>
      <x:c r="E15" s="22" t="n">
        <x:f>$B$3</x:f>
        <x:v>150000</x:v>
      </x:c>
    </x:row>
    <x:row r="16">
      <x:c r="A16" s="16" t="n">
        <x:f>A15+1</x:f>
        <x:v>10</x:v>
      </x:c>
      <x:c r="B16" s="18" t="n">
        <x:f>B15+$B$2*B15*(1-B15/$B$3)</x:f>
        <x:v>150001.07065865916</x:v>
      </x:c>
      <x:c r="C16" s="18" t="n">
        <x:f>B16-B15</x:f>
        <x:v>6.4250987560953945</x:v>
      </x:c>
      <x:c r="D16" s="20" t="n">
        <x:f>B16/$B$3</x:f>
        <x:v>1.0000071377243944</x:v>
      </x:c>
      <x:c r="E16" s="22" t="n">
        <x:f>$B$3</x:f>
        <x:v>150000</x:v>
      </x:c>
    </x:row>
    <x:row r="17">
      <x:c r="A17" s="16" t="n">
        <x:f>A16+1</x:f>
        <x:v>11</x:v>
      </x:c>
      <x:c r="B17" s="18" t="n">
        <x:f>B16+$B$2*B16*(1-B16/$B$3)</x:f>
        <x:v>149999.78585909767</x:v>
      </x:c>
      <x:c r="C17" s="18" t="n">
        <x:f>B17-B16</x:f>
        <x:v>-1.2847995614865795</x:v>
      </x:c>
      <x:c r="D17" s="20" t="n">
        <x:f>B17/$B$3</x:f>
        <x:v>0.9999985723939845</x:v>
      </x:c>
      <x:c r="E17" s="22" t="n">
        <x:f>$B$3</x:f>
        <x:v>150000</x:v>
      </x:c>
    </x:row>
    <x:row r="18">
      <x:c r="A18" s="16" t="n">
        <x:f>A17+1</x:f>
        <x:v>12</x:v>
      </x:c>
      <x:c r="B18" s="18" t="n">
        <x:f>B17+$B$2*B17*(1-B17/$B$3)</x:f>
        <x:v>150000.04282781362</x:v>
      </x:c>
      <x:c r="C18" s="18" t="n">
        <x:f>B18-B17</x:f>
        <x:v>0.2569687159557361</x:v>
      </x:c>
      <x:c r="D18" s="20" t="n">
        <x:f>B18/$B$3</x:f>
        <x:v>1.0000002855187575</x:v>
      </x:c>
      <x:c r="E18" s="22" t="n">
        <x:f>$B$3</x:f>
        <x:v>150000</x:v>
      </x:c>
    </x:row>
    <x:row r="19">
      <x:c r="A19" s="16" t="n">
        <x:f>A18+1</x:f>
        <x:v>13</x:v>
      </x:c>
      <x:c r="B19" s="18" t="n">
        <x:f>B18+$B$2*B18*(1-B18/$B$3)</x:f>
        <x:v>149999.99143442258</x:v>
      </x:c>
      <x:c r="C19" s="18" t="n">
        <x:f>B19-B18</x:f>
        <x:v>-0.05139339104061946</x:v>
      </x:c>
      <x:c r="D19" s="20" t="n">
        <x:f>B19/$B$3</x:f>
        <x:v>0.9999999428961506</x:v>
      </x:c>
      <x:c r="E19" s="22" t="n">
        <x:f>$B$3</x:f>
        <x:v>150000</x:v>
      </x:c>
    </x:row>
    <x:row r="20">
      <x:c r="A20" s="16" t="n">
        <x:f>A19+1</x:f>
        <x:v>14</x:v>
      </x:c>
      <x:c r="B20" s="18" t="n">
        <x:f>B19+$B$2*B19*(1-B19/$B$3)</x:f>
        <x:v>150000.0017131149</x:v>
      </x:c>
      <x:c r="C20" s="18" t="n">
        <x:f>B20-B19</x:f>
        <x:v>0.010278692323481664</x:v>
      </x:c>
      <x:c r="D20" s="20" t="n">
        <x:f>B20/$B$3</x:f>
        <x:v>1.000000011420766</x:v>
      </x:c>
      <x:c r="E20" s="22" t="n">
        <x:f>$B$3</x:f>
        <x:v>150000</x:v>
      </x:c>
    </x:row>
    <x:row r="21">
      <x:c r="A21" s="16" t="n">
        <x:f>A20+1</x:f>
        <x:v>15</x:v>
      </x:c>
      <x:c r="B21" s="18" t="n">
        <x:f>B20+$B$2*B20*(1-B20/$B$3)</x:f>
        <x:v>149999.999657377</x:v>
      </x:c>
      <x:c r="C21" s="18" t="n">
        <x:f>B21-B20</x:f>
        <x:v>-0.0020557379175443202</x:v>
      </x:c>
      <x:c r="D21" s="20" t="n">
        <x:f>B21/$B$3</x:f>
        <x:v>0.9999999977158466</x:v>
      </x:c>
      <x:c r="E21" s="22" t="n">
        <x:f>$B$3</x:f>
        <x:v>150000</x:v>
      </x:c>
    </x:row>
    <x:row r="22">
      <x:c r="A22" s="16" t="n">
        <x:f>A21+1</x:f>
        <x:v>16</x:v>
      </x:c>
      <x:c r="B22" s="18" t="n">
        <x:f>B21+$B$2*B21*(1-B21/$B$3)</x:f>
        <x:v>150000.0000685246</x:v>
      </x:c>
      <x:c r="C22" s="18" t="n">
        <x:f>B22-B21</x:f>
        <x:v>0.0004111476009711623</x:v>
      </x:c>
      <x:c r="D22" s="20" t="n">
        <x:f>B22/$B$3</x:f>
        <x:v>1.0000000004568306</x:v>
      </x:c>
      <x:c r="E22" s="22" t="n">
        <x:f>$B$3</x:f>
        <x:v>150000</x:v>
      </x:c>
    </x:row>
    <x:row r="23">
      <x:c r="A23" s="16" t="n">
        <x:f>A22+1</x:f>
        <x:v>17</x:v>
      </x:c>
      <x:c r="B23" s="18" t="n">
        <x:f>B22+$B$2*B22*(1-B22/$B$3)</x:f>
        <x:v>149999.9999862951</x:v>
      </x:c>
      <x:c r="C23" s="18" t="n">
        <x:f>B23-B22</x:f>
        <x:v>-0.0000822294969111681</x:v>
      </x:c>
      <x:c r="D23" s="20" t="n">
        <x:f>B23/$B$3</x:f>
        <x:v>0.999999999908634</x:v>
      </x:c>
      <x:c r="E23" s="22" t="n">
        <x:f>$B$3</x:f>
        <x:v>150000</x:v>
      </x:c>
    </x:row>
    <x:row r="24">
      <x:c r="A24" s="16" t="n">
        <x:f>A23+1</x:f>
        <x:v>18</x:v>
      </x:c>
      <x:c r="B24" s="18" t="n">
        <x:f>B23+$B$2*B23*(1-B23/$B$3)</x:f>
        <x:v>150000.00000274097</x:v>
      </x:c>
      <x:c r="C24" s="18" t="n">
        <x:f>B24-B23</x:f>
        <x:v>0.000016445876099169254</x:v>
      </x:c>
      <x:c r="D24" s="20" t="n">
        <x:f>B24/$B$3</x:f>
        <x:v>1.0000000000182732</x:v>
      </x:c>
      <x:c r="E24" s="22" t="n">
        <x:f>$B$3</x:f>
        <x:v>150000</x:v>
      </x:c>
    </x:row>
    <x:row r="25">
      <x:c r="A25" s="16" t="n">
        <x:f>A24+1</x:f>
        <x:v>19</x:v>
      </x:c>
      <x:c r="B25" s="18" t="n">
        <x:f>B24+$B$2*B24*(1-B24/$B$3)</x:f>
        <x:v>149999.9999994518</x:v>
      </x:c>
      <x:c r="C25" s="18" t="n">
        <x:f>B25-B24</x:f>
        <x:v>-0.0000032891693990677595</x:v>
      </x:c>
      <x:c r="D25" s="20" t="n">
        <x:f>B25/$B$3</x:f>
        <x:v>0.9999999999963454</x:v>
      </x:c>
      <x:c r="E25" s="22" t="n">
        <x:f>$B$3</x:f>
        <x:v>150000</x:v>
      </x:c>
    </x:row>
    <x:row r="26">
      <x:c r="A26" s="16" t="n">
        <x:f>A25+1</x:f>
        <x:v>20</x:v>
      </x:c>
      <x:c r="B26" s="18" t="n">
        <x:f>B25+$B$2*B25*(1-B25/$B$3)</x:f>
        <x:v>150000.00000010963</x:v>
      </x:c>
      <x:c r="C26" s="18" t="n">
        <x:f>B26-B25</x:f>
        <x:v>6.578338798135519e-7</x:v>
      </x:c>
      <x:c r="D26" s="20" t="n">
        <x:f>B26/$B$3</x:f>
        <x:v>1.000000000000731</x:v>
      </x:c>
      <x:c r="E26" s="22" t="n">
        <x:f>$B$3</x:f>
        <x:v>150000</x:v>
      </x:c>
    </x:row>
    <x:row r="27">
      <x:c r="A27" s="16" t="n">
        <x:f>A26+1</x:f>
        <x:v>21</x:v>
      </x:c>
      <x:c r="B27" s="18" t="n">
        <x:f>B26+$B$2*B26*(1-B26/$B$3)</x:f>
        <x:v>149999.99999997806</x:v>
      </x:c>
      <x:c r="C27" s="18" t="n">
        <x:f>B27-B26</x:f>
        <x:v>-1.3157841749489307e-7</x:v>
      </x:c>
      <x:c r="D27" s="20" t="n">
        <x:f>B27/$B$3</x:f>
        <x:v>0.9999999999998537</x:v>
      </x:c>
      <x:c r="E27" s="22" t="n">
        <x:f>$B$3</x:f>
        <x:v>150000</x:v>
      </x:c>
    </x:row>
    <x:row r="28">
      <x:c r="A28" s="16" t="n">
        <x:f>A27+1</x:f>
        <x:v>22</x:v>
      </x:c>
      <x:c r="B28" s="18" t="n">
        <x:f>B27+$B$2*B27*(1-B27/$B$3)</x:f>
        <x:v>150000.0000000044</x:v>
      </x:c>
      <x:c r="C28" s="18" t="n">
        <x:f>B28-B27</x:f>
        <x:v>2.6338966563344002e-8</x:v>
      </x:c>
      <x:c r="D28" s="20" t="n">
        <x:f>B28/$B$3</x:f>
        <x:v>1.0000000000000293</x:v>
      </x:c>
      <x:c r="E28" s="22" t="n">
        <x:f>$B$3</x:f>
        <x:v>150000</x:v>
      </x:c>
    </x:row>
    <x:row r="29">
      <x:c r="A29" s="16" t="n">
        <x:f>A28+1</x:f>
        <x:v>23</x:v>
      </x:c>
      <x:c r="B29" s="18" t="n">
        <x:f>B28+$B$2*B28*(1-B28/$B$3)</x:f>
        <x:v>149999.99999999913</x:v>
      </x:c>
      <x:c r="C29" s="18" t="n">
        <x:f>B29-B28</x:f>
        <x:v>-5.2677933126688e-9</x:v>
      </x:c>
      <x:c r="D29" s="20" t="n">
        <x:f>B29/$B$3</x:f>
        <x:v>0.9999999999999942</x:v>
      </x:c>
      <x:c r="E29" s="22" t="n">
        <x:f>$B$3</x:f>
        <x:v>150000</x:v>
      </x:c>
    </x:row>
    <x:row r="30">
      <x:c r="A30" s="16" t="n">
        <x:f>A29+1</x:f>
        <x:v>24</x:v>
      </x:c>
      <x:c r="B30" s="18" t="n">
        <x:f>B29+$B$2*B29*(1-B29/$B$3)</x:f>
        <x:v>150000.00000000017</x:v>
      </x:c>
      <x:c r="C30" s="18" t="n">
        <x:f>B30-B29</x:f>
        <x:v>1.0477378964424133e-9</x:v>
      </x:c>
      <x:c r="D30" s="20" t="n">
        <x:f>B30/$B$3</x:f>
        <x:v>1.000000000000001</x:v>
      </x:c>
      <x:c r="E30" s="22" t="n">
        <x:f>$B$3</x:f>
        <x:v>150000</x:v>
      </x:c>
    </x:row>
    <x:row r="31">
      <x:c r="A31" s="16" t="n">
        <x:f>A30+1</x:f>
        <x:v>25</x:v>
      </x:c>
      <x:c r="B31" s="18" t="n">
        <x:f>B30+$B$2*B30*(1-B30/$B$3)</x:f>
        <x:v>149999.99999999997</x:v>
      </x:c>
      <x:c r="C31" s="18" t="n">
        <x:f>B31-B30</x:f>
        <x:v>-2.0372681319713593e-10</x:v>
      </x:c>
      <x:c r="D31" s="20" t="n">
        <x:f>B31/$B$3</x:f>
        <x:v>0.9999999999999998</x:v>
      </x:c>
      <x:c r="E31" s="22" t="n">
        <x:f>$B$3</x:f>
        <x:v>150000</x:v>
      </x:c>
    </x:row>
    <x:row r="32">
      <x:c r="A32" s="16" t="n">
        <x:f>A31+1</x:f>
        <x:v>26</x:v>
      </x:c>
      <x:c r="B32" s="18" t="n">
        <x:f>B31+$B$2*B31*(1-B31/$B$3)</x:f>
        <x:v>150000</x:v>
      </x:c>
      <x:c r="C32" s="18" t="n">
        <x:f>B32-B31</x:f>
        <x:v>2.9103830456733704e-11</x:v>
      </x:c>
      <x:c r="D32" s="20" t="n">
        <x:f>B32/$B$3</x:f>
        <x:v>1</x:v>
      </x:c>
      <x:c r="E32" s="22" t="n">
        <x:f>$B$3</x:f>
        <x:v>150000</x:v>
      </x:c>
    </x:row>
    <x:row r="33">
      <x:c r="A33" s="16" t="n">
        <x:f>A32+1</x:f>
        <x:v>27</x:v>
      </x:c>
      <x:c r="B33" s="18" t="n">
        <x:f>B32+$B$2*B32*(1-B32/$B$3)</x:f>
        <x:v>150000</x:v>
      </x:c>
      <x:c r="C33" s="18" t="n">
        <x:f>B33-B32</x:f>
        <x:v>0</x:v>
      </x:c>
      <x:c r="D33" s="20" t="n">
        <x:f>B33/$B$3</x:f>
        <x:v>1</x:v>
      </x:c>
      <x:c r="E33" s="22" t="n">
        <x:f>$B$3</x:f>
        <x:v>150000</x:v>
      </x:c>
    </x:row>
    <x:row r="34">
      <x:c r="A34" s="16" t="n">
        <x:f>A33+1</x:f>
        <x:v>28</x:v>
      </x:c>
      <x:c r="B34" s="18" t="n">
        <x:f>B33+$B$2*B33*(1-B33/$B$3)</x:f>
        <x:v>150000</x:v>
      </x:c>
      <x:c r="C34" s="18" t="n">
        <x:f>B34-B33</x:f>
        <x:v>0</x:v>
      </x:c>
      <x:c r="D34" s="20" t="n">
        <x:f>B34/$B$3</x:f>
        <x:v>1</x:v>
      </x:c>
      <x:c r="E34" s="22" t="n">
        <x:f>$B$3</x:f>
        <x:v>150000</x:v>
      </x:c>
    </x:row>
    <x:row r="35">
      <x:c r="A35" s="16" t="n">
        <x:f>A34+1</x:f>
        <x:v>29</x:v>
      </x:c>
      <x:c r="B35" s="18" t="n">
        <x:f>B34+$B$2*B34*(1-B34/$B$3)</x:f>
        <x:v>150000</x:v>
      </x:c>
      <x:c r="C35" s="18" t="n">
        <x:f>B35-B34</x:f>
        <x:v>0</x:v>
      </x:c>
      <x:c r="D35" s="20" t="n">
        <x:f>B35/$B$3</x:f>
        <x:v>1</x:v>
      </x:c>
      <x:c r="E35" s="22" t="n">
        <x:f>$B$3</x:f>
        <x:v>150000</x:v>
      </x:c>
    </x:row>
    <x:row r="36">
      <x:c r="A36" s="16" t="n">
        <x:f>A35+1</x:f>
        <x:v>30</x:v>
      </x:c>
      <x:c r="B36" s="18" t="n">
        <x:f>B35+$B$2*B35*(1-B35/$B$3)</x:f>
        <x:v>150000</x:v>
      </x:c>
      <x:c r="C36" s="18" t="n">
        <x:f>B36-B35</x:f>
        <x:v>0</x:v>
      </x:c>
      <x:c r="D36" s="20" t="n">
        <x:f>B36/$B$3</x:f>
        <x:v>1</x:v>
      </x:c>
      <x:c r="E36" s="22" t="n">
        <x:f>$B$3</x:f>
        <x:v>150000</x:v>
      </x:c>
    </x:row>
  </x:sheetData>
  <x:pageMargins left="0.7" right="0.7" top="0.75" bottom="0.75" header="0.3" footer="0.3"/>
  <x:drawing xmlns:r="http://schemas.openxmlformats.org/officeDocument/2006/relationships" r:id="Ree82c8b50a9645a2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0" hidden="0" customWidth="1"/>
    <x:col min="4" max="4" width="13" hidden="0" customWidth="1"/>
    <x:col min="5" max="5" width="13" hidden="0" customWidth="1"/>
    <x:col min="6" max="6" width="8" hidden="0" customWidth="1"/>
    <x:col min="7" max="7" width="16" hidden="0" customWidth="1"/>
    <x:col min="8" max="8" width="58" hidden="0" customWidth="1"/>
  </x:cols>
  <x:sheetData>
    <x:row r="1">
      <x:c r="A1" s="10" t="str">
        <x:v>№</x:v>
      </x:c>
      <x:c r="B1" s="10" t="str">
        <x:v>Серия</x:v>
      </x:c>
      <x:c r="C1" s="10" t="str">
        <x:v>a</x:v>
      </x:c>
      <x:c r="D1" s="10" t="str">
        <x:v>K</x:v>
      </x:c>
      <x:c r="E1" s="10" t="str">
        <x:v>N0</x:v>
      </x:c>
      <x:c r="F1" s="10" t="str">
        <x:v>T</x:v>
      </x:c>
      <x:c r="G1" s="10" t="str">
        <x:v>t* (0,95K)</x:v>
      </x:c>
      <x:c r="H1" s="10" t="str">
        <x:v>Наблюдение</x:v>
      </x:c>
    </x:row>
    <x:row r="2">
      <x:c r="A2" s="11" t="n">
        <x:v>1</x:v>
      </x:c>
      <x:c r="B2" s="11" t="str">
        <x:v>1: a</x:v>
      </x:c>
      <x:c r="C2" s="24" t="n">
        <x:v>0.7</x:v>
      </x:c>
      <x:c r="D2" s="22" t="n">
        <x:v>150000</x:v>
      </x:c>
      <x:c r="E2" s="22" t="n">
        <x:v>8000</x:v>
      </x:c>
      <x:c r="F2" s="11" t="n">
        <x:v>30</x:v>
      </x:c>
      <x:c r="G2" s="11" t="n">
        <x:v>9</x:v>
      </x:c>
      <x:c r="H2" s="11" t="str">
        <x:v>монотонный выход к K; t*= 9 мес.; колебаний нет.</x:v>
      </x:c>
    </x:row>
    <x:row r="3">
      <x:c r="A3" s="11" t="n">
        <x:v>2</x:v>
      </x:c>
      <x:c r="B3" s="11" t="str">
        <x:v>1: a</x:v>
      </x:c>
      <x:c r="C3" s="24" t="n">
        <x:v>1</x:v>
      </x:c>
      <x:c r="D3" s="22" t="n">
        <x:v>150000</x:v>
      </x:c>
      <x:c r="E3" s="22" t="n">
        <x:v>8000</x:v>
      </x:c>
      <x:c r="F3" s="11" t="n">
        <x:v>30</x:v>
      </x:c>
      <x:c r="G3" s="11" t="n">
        <x:v>6</x:v>
      </x:c>
      <x:c r="H3" s="11" t="str">
        <x:v>монотонный выход к K; t*= 6 мес.; колебаний нет.</x:v>
      </x:c>
    </x:row>
    <x:row r="4">
      <x:c r="A4" s="11" t="n">
        <x:v>3</x:v>
      </x:c>
      <x:c r="B4" s="11" t="str">
        <x:v>1: a</x:v>
      </x:c>
      <x:c r="C4" s="24" t="n">
        <x:v>1.2</x:v>
      </x:c>
      <x:c r="D4" s="22" t="n">
        <x:v>150000</x:v>
      </x:c>
      <x:c r="E4" s="22" t="n">
        <x:v>8000</x:v>
      </x:c>
      <x:c r="F4" s="11" t="n">
        <x:v>30</x:v>
      </x:c>
      <x:c r="G4" s="11" t="n">
        <x:v>5</x:v>
      </x:c>
      <x:c r="H4" s="11" t="str">
        <x:v>затухающие колебания; t*= 5 мес.; перелёты через K затухают.</x:v>
      </x:c>
    </x:row>
    <x:row r="5">
      <x:c r="A5" s="11" t="n">
        <x:v>4</x:v>
      </x:c>
      <x:c r="B5" s="11" t="str">
        <x:v>1: a</x:v>
      </x:c>
      <x:c r="C5" s="24" t="n">
        <x:v>1.4</x:v>
      </x:c>
      <x:c r="D5" s="22" t="n">
        <x:v>150000</x:v>
      </x:c>
      <x:c r="E5" s="22" t="n">
        <x:v>8000</x:v>
      </x:c>
      <x:c r="F5" s="11" t="n">
        <x:v>30</x:v>
      </x:c>
      <x:c r="G5" s="11" t="n">
        <x:v>5</x:v>
      </x:c>
      <x:c r="H5" s="11" t="str">
        <x:v>затухающие колебания; t*= 5 мес.; перелёты через K затухают.</x:v>
      </x:c>
    </x:row>
    <x:row r="6">
      <x:c r="A6" s="11" t="n">
        <x:v>5</x:v>
      </x:c>
      <x:c r="B6" s="11" t="str">
        <x:v>1: a</x:v>
      </x:c>
      <x:c r="C6" s="24" t="n">
        <x:v>1.9</x:v>
      </x:c>
      <x:c r="D6" s="22" t="n">
        <x:v>150000</x:v>
      </x:c>
      <x:c r="E6" s="22" t="n">
        <x:v>8000</x:v>
      </x:c>
      <x:c r="F6" s="11" t="n">
        <x:v>30</x:v>
      </x:c>
      <x:c r="G6" s="11" t="n">
        <x:v>4</x:v>
      </x:c>
      <x:c r="H6" s="11" t="str">
        <x:v>затухающие колебания; t*= 4 мес.; перелёты через K затухают. В конце: 147299–152338 чел., размах 3.36% K.</x:v>
      </x:c>
    </x:row>
    <x:row r="7">
      <x:c r="A7" s="11" t="n">
        <x:v>6</x:v>
      </x:c>
      <x:c r="B7" s="11" t="str">
        <x:v>1: a</x:v>
      </x:c>
      <x:c r="C7" s="24" t="n">
        <x:v>2.3</x:v>
      </x:c>
      <x:c r="D7" s="22" t="n">
        <x:v>150000</x:v>
      </x:c>
      <x:c r="E7" s="22" t="n">
        <x:v>8000</x:v>
      </x:c>
      <x:c r="F7" s="11" t="n">
        <x:v>30</x:v>
      </x:c>
      <x:c r="G7" s="11" t="n">
        <x:v>3</x:v>
      </x:c>
      <x:c r="H7" s="11" t="str">
        <x:v>устойчивый цикл; t*= 3 мес.; несколько чередующихся значений, размах 49.38% K.</x:v>
      </x:c>
    </x:row>
    <x:row r="8">
      <x:c r="A8" s="11" t="n">
        <x:v>7</x:v>
      </x:c>
      <x:c r="B8" s="11" t="str">
        <x:v>1: a</x:v>
      </x:c>
      <x:c r="C8" s="24" t="n">
        <x:v>2.7</x:v>
      </x:c>
      <x:c r="D8" s="22" t="n">
        <x:v>150000</x:v>
      </x:c>
      <x:c r="E8" s="22" t="n">
        <x:v>8000</x:v>
      </x:c>
      <x:c r="F8" s="11" t="n">
        <x:v>30</x:v>
      </x:c>
      <x:c r="G8" s="11" t="n">
        <x:v>3</x:v>
      </x:c>
      <x:c r="H8" s="11" t="str">
        <x:v>нерегулярное поведение; t*= 3 мес.; установившейся периодичности нет, диапазон последних 12 мес. 53981–189751 чел. (90.51% K).</x:v>
      </x:c>
    </x:row>
    <x:row r="9">
      <x:c r="A9" s="11" t="n">
        <x:v>8</x:v>
      </x:c>
      <x:c r="B9" s="11" t="str">
        <x:v>1: a</x:v>
      </x:c>
      <x:c r="C9" s="24" t="n">
        <x:v>2.9</x:v>
      </x:c>
      <x:c r="D9" s="22" t="n">
        <x:v>150000</x:v>
      </x:c>
      <x:c r="E9" s="22" t="n">
        <x:v>8000</x:v>
      </x:c>
      <x:c r="F9" s="11" t="n">
        <x:v>30</x:v>
      </x:c>
      <x:c r="G9" s="11" t="n">
        <x:v>3</x:v>
      </x:c>
      <x:c r="H9" s="11" t="str">
        <x:v>нерегулярное поведение; t*= 3 мес.; установившейся периодичности нет, диапазон последних 12 мес. 20980–196193 чел. (116.81% K).</x:v>
      </x:c>
    </x:row>
    <x:row r="10">
      <x:c r="A10" s="11" t="n">
        <x:v>9</x:v>
      </x:c>
      <x:c r="B10" s="11" t="str">
        <x:v>2: N0</x:v>
      </x:c>
      <x:c r="C10" s="24" t="n">
        <x:v>1.2</x:v>
      </x:c>
      <x:c r="D10" s="22" t="n">
        <x:v>150000</x:v>
      </x:c>
      <x:c r="E10" s="22" t="n">
        <x:v>1000</x:v>
      </x:c>
      <x:c r="F10" s="11" t="n">
        <x:v>30</x:v>
      </x:c>
      <x:c r="G10" s="11" t="n">
        <x:v>8</x:v>
      </x:c>
      <x:c r="H10" s="11" t="str">
        <x:v>затухающие колебания; t*= 8 мес.; перелёты через K затухают.</x:v>
      </x:c>
    </x:row>
    <x:row r="11">
      <x:c r="A11" s="11" t="n">
        <x:v>10</x:v>
      </x:c>
      <x:c r="B11" s="11" t="str">
        <x:v>2: N0</x:v>
      </x:c>
      <x:c r="C11" s="24" t="n">
        <x:v>1.2</x:v>
      </x:c>
      <x:c r="D11" s="22" t="n">
        <x:v>150000</x:v>
      </x:c>
      <x:c r="E11" s="22" t="n">
        <x:v>8000</x:v>
      </x:c>
      <x:c r="F11" s="11" t="n">
        <x:v>30</x:v>
      </x:c>
      <x:c r="G11" s="11" t="n">
        <x:v>5</x:v>
      </x:c>
      <x:c r="H11" s="11" t="str">
        <x:v>затухающие колебания; t*= 5 мес.; перелёты через K затухают.</x:v>
      </x:c>
    </x:row>
    <x:row r="12">
      <x:c r="A12" s="11" t="n">
        <x:v>11</x:v>
      </x:c>
      <x:c r="B12" s="11" t="str">
        <x:v>2: N0</x:v>
      </x:c>
      <x:c r="C12" s="24" t="n">
        <x:v>1.2</x:v>
      </x:c>
      <x:c r="D12" s="22" t="n">
        <x:v>150000</x:v>
      </x:c>
      <x:c r="E12" s="22" t="n">
        <x:v>50000</x:v>
      </x:c>
      <x:c r="F12" s="11" t="n">
        <x:v>30</x:v>
      </x:c>
      <x:c r="G12" s="11" t="n">
        <x:v>3</x:v>
      </x:c>
      <x:c r="H12" s="11" t="str">
        <x:v>затухающие колебания; t*= 3 мес.; перелёты через K затухают.</x:v>
      </x:c>
    </x:row>
    <x:row r="13">
      <x:c r="A13" s="11" t="n">
        <x:v>12</x:v>
      </x:c>
      <x:c r="B13" s="11" t="str">
        <x:v>2: N0</x:v>
      </x:c>
      <x:c r="C13" s="24" t="n">
        <x:v>1.2</x:v>
      </x:c>
      <x:c r="D13" s="22" t="n">
        <x:v>150000</x:v>
      </x:c>
      <x:c r="E13" s="22" t="n">
        <x:v>100000</x:v>
      </x:c>
      <x:c r="F13" s="11" t="n">
        <x:v>30</x:v>
      </x:c>
      <x:c r="G13" s="11" t="n">
        <x:v>2</x:v>
      </x:c>
      <x:c r="H13" s="11" t="str">
        <x:v>затухающие колебания; t*= 2 мес.; перелёты через K затухают.</x:v>
      </x:c>
    </x:row>
    <x:row r="14">
      <x:c r="A14" s="11" t="n">
        <x:v>13</x:v>
      </x:c>
      <x:c r="B14" s="11" t="str">
        <x:v>2: N0</x:v>
      </x:c>
      <x:c r="C14" s="24" t="n">
        <x:v>1.2</x:v>
      </x:c>
      <x:c r="D14" s="22" t="n">
        <x:v>150000</x:v>
      </x:c>
      <x:c r="E14" s="22" t="n">
        <x:v>160000</x:v>
      </x:c>
      <x:c r="F14" s="11" t="n">
        <x:v>30</x:v>
      </x:c>
      <x:c r="G14" s="11" t="n">
        <x:v>0</x:v>
      </x:c>
      <x:c r="H14" s="11" t="str">
        <x:v>затухающие колебания; t*= 0 мес.; перелёты через K затухают.</x:v>
      </x:c>
    </x:row>
    <x:row r="15">
      <x:c r="A15" s="11" t="n">
        <x:v>14</x:v>
      </x:c>
      <x:c r="B15" s="11" t="str">
        <x:v>3: K</x:v>
      </x:c>
      <x:c r="C15" s="24" t="n">
        <x:v>1.2</x:v>
      </x:c>
      <x:c r="D15" s="22" t="n">
        <x:v>75000</x:v>
      </x:c>
      <x:c r="E15" s="22" t="n">
        <x:v>8000</x:v>
      </x:c>
      <x:c r="F15" s="11" t="n">
        <x:v>30</x:v>
      </x:c>
      <x:c r="G15" s="11" t="n">
        <x:v>4</x:v>
      </x:c>
      <x:c r="H15" s="11" t="str">
        <x:v>затухающие колебания; t*= 4 мес.; перелёты через K затухают.</x:v>
      </x:c>
    </x:row>
    <x:row r="16">
      <x:c r="A16" s="11" t="n">
        <x:v>15</x:v>
      </x:c>
      <x:c r="B16" s="11" t="str">
        <x:v>3: K</x:v>
      </x:c>
      <x:c r="C16" s="24" t="n">
        <x:v>1.2</x:v>
      </x:c>
      <x:c r="D16" s="22" t="n">
        <x:v>120000</x:v>
      </x:c>
      <x:c r="E16" s="22" t="n">
        <x:v>8000</x:v>
      </x:c>
      <x:c r="F16" s="11" t="n">
        <x:v>30</x:v>
      </x:c>
      <x:c r="G16" s="11" t="n">
        <x:v>5</x:v>
      </x:c>
      <x:c r="H16" s="11" t="str">
        <x:v>затухающие колебания; t*= 5 мес.; перелёты через K затухают.</x:v>
      </x:c>
    </x:row>
    <x:row r="17">
      <x:c r="A17" s="11" t="n">
        <x:v>16</x:v>
      </x:c>
      <x:c r="B17" s="11" t="str">
        <x:v>3: K</x:v>
      </x:c>
      <x:c r="C17" s="24" t="n">
        <x:v>1.2</x:v>
      </x:c>
      <x:c r="D17" s="22" t="n">
        <x:v>150000</x:v>
      </x:c>
      <x:c r="E17" s="22" t="n">
        <x:v>8000</x:v>
      </x:c>
      <x:c r="F17" s="11" t="n">
        <x:v>30</x:v>
      </x:c>
      <x:c r="G17" s="11" t="n">
        <x:v>5</x:v>
      </x:c>
      <x:c r="H17" s="11" t="str">
        <x:v>затухающие колебания; t*= 5 мес.; перелёты через K затухают.</x:v>
      </x:c>
    </x:row>
    <x:row r="18">
      <x:c r="A18" s="11" t="n">
        <x:v>17</x:v>
      </x:c>
      <x:c r="B18" s="11" t="str">
        <x:v>3: K</x:v>
      </x:c>
      <x:c r="C18" s="24" t="n">
        <x:v>1.2</x:v>
      </x:c>
      <x:c r="D18" s="22" t="n">
        <x:v>200000</x:v>
      </x:c>
      <x:c r="E18" s="22" t="n">
        <x:v>8000</x:v>
      </x:c>
      <x:c r="F18" s="11" t="n">
        <x:v>30</x:v>
      </x:c>
      <x:c r="G18" s="11" t="n">
        <x:v>6</x:v>
      </x:c>
      <x:c r="H18" s="11" t="str">
        <x:v>затухающие колебания; t*= 6 мес.; перелёты через K затухают.</x:v>
      </x:c>
    </x:row>
    <x:row r="19">
      <x:c r="A19" s="11" t="n">
        <x:v>18</x:v>
      </x:c>
      <x:c r="B19" s="11" t="str">
        <x:v>3: K</x:v>
      </x:c>
      <x:c r="C19" s="24" t="n">
        <x:v>1.2</x:v>
      </x:c>
      <x:c r="D19" s="22" t="n">
        <x:v>250000</x:v>
      </x:c>
      <x:c r="E19" s="22" t="n">
        <x:v>8000</x:v>
      </x:c>
      <x:c r="F19" s="11" t="n">
        <x:v>30</x:v>
      </x:c>
      <x:c r="G19" s="11" t="n">
        <x:v>6</x:v>
      </x:c>
      <x:c r="H19" s="11" t="str">
        <x:v>затухающие колебания; t*= 6 мес.; перелёты через K затухают.</x:v>
      </x:c>
    </x:row>
  </x:sheetData>
  <x:pageMargins left="0.7" right="0.7" top="0.75" bottom="0.75" header="0.3" footer="0.3"/>
</x:worksheet>
</file>