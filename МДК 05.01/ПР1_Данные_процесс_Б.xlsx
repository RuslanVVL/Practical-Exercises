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Данные" sheetId="1" state="visible" r:id="rId1"/>
    <sheet name="Итоги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<sst xmlns="http://schemas.openxmlformats.org/spreadsheetml/2006/main" count="112" uniqueCount="112">
  <si>
    <t xml:space="preserve">Единая таблица обследования</t>
  </si>
  <si>
    <t xml:space="preserve">Практическая работа № 1 · МДК 05.01 · Процесс Б: выдача книг в библиотеке</t>
  </si>
  <si>
    <t xml:space="preserve">Студент: Заляутдинов Р.М.   Группа: 14-134-П   Дата: 28.10.2026   Данные: учебный пример</t>
  </si>
  <si>
    <t xml:space="preserve">№ записи</t>
  </si>
  <si>
    <t xml:space="preserve">Источник (анкета / интервью)</t>
  </si>
  <si>
    <t xml:space="preserve">№ респондента</t>
  </si>
  <si>
    <t>Вопрос</t>
  </si>
  <si>
    <t>Ответ</t>
  </si>
  <si>
    <t xml:space="preserve">Комментарий (проблема, замечание)</t>
  </si>
  <si>
    <t>анкета</t>
  </si>
  <si>
    <t>Р1</t>
  </si>
  <si>
    <t xml:space="preserve">Сколько времени обычно занимает поиск и выдача нужной книги?</t>
  </si>
  <si>
    <t xml:space="preserve">5–10 минут</t>
  </si>
  <si>
    <t xml:space="preserve">Средняя продолжительность</t>
  </si>
  <si>
    <t xml:space="preserve">Бывает ли, что нужной книги нет на месте?</t>
  </si>
  <si>
    <t xml:space="preserve">Да — книги нет на месте</t>
  </si>
  <si>
    <t xml:space="preserve">Не всегда удаётся получить книгу сразу</t>
  </si>
  <si>
    <t xml:space="preserve">Оцените удобство поиска и выдачи книги (1 — неудобно, 5 — удобно).</t>
  </si>
  <si>
    <t xml:space="preserve">3 из 5</t>
  </si>
  <si>
    <t xml:space="preserve">Средняя оценка</t>
  </si>
  <si>
    <t xml:space="preserve">Какая трудность встречается чаще всего?</t>
  </si>
  <si>
    <t xml:space="preserve">Долгое ожидание</t>
  </si>
  <si>
    <t xml:space="preserve">Ожидание при обслуживании</t>
  </si>
  <si>
    <t xml:space="preserve">Как вы обычно находите нужную книгу?</t>
  </si>
  <si>
    <t xml:space="preserve">Обращаюсь к библиотекарю</t>
  </si>
  <si>
    <t xml:space="preserve">Нужна помощь сотрудника</t>
  </si>
  <si>
    <t xml:space="preserve">Что, по вашему мнению, нужно улучшить в процессе выдачи книг?</t>
  </si>
  <si>
    <t xml:space="preserve">Сделать поиск книг в электронном каталоге проще.</t>
  </si>
  <si>
    <t xml:space="preserve">Предложение по улучшению поиска</t>
  </si>
  <si>
    <t xml:space="preserve">Какие дополнительные предложения есть по работе библиотеки?</t>
  </si>
  <si>
    <t xml:space="preserve">Показывать, занята ли книга.</t>
  </si>
  <si>
    <t xml:space="preserve">Нужно видеть актуальный статус книги</t>
  </si>
  <si>
    <t>Р2</t>
  </si>
  <si>
    <t xml:space="preserve">Более 10 минут</t>
  </si>
  <si>
    <t xml:space="preserve">Самый длительный вариант</t>
  </si>
  <si>
    <t xml:space="preserve">Книги иногда нет на полке</t>
  </si>
  <si>
    <t xml:space="preserve">2 из 5</t>
  </si>
  <si>
    <t xml:space="preserve">Низкая оценка удобства</t>
  </si>
  <si>
    <t xml:space="preserve">Книги нет на месте</t>
  </si>
  <si>
    <t xml:space="preserve">Требуется проверить наличие</t>
  </si>
  <si>
    <t xml:space="preserve">По каталогу на карточках</t>
  </si>
  <si>
    <t xml:space="preserve">Используется карточный каталог</t>
  </si>
  <si>
    <t xml:space="preserve">Обновлять информацию о наличии книг.</t>
  </si>
  <si>
    <t xml:space="preserve">Информация о наличии должна быть актуальной</t>
  </si>
  <si>
    <t xml:space="preserve">Добавить возможность предварительного бронирования.</t>
  </si>
  <si>
    <t xml:space="preserve">Предложение по резервированию</t>
  </si>
  <si>
    <t>Р3</t>
  </si>
  <si>
    <t xml:space="preserve">Обычное время получения книги</t>
  </si>
  <si>
    <t xml:space="preserve">Нет — книга есть на месте</t>
  </si>
  <si>
    <t xml:space="preserve">В данном примере затруднения не отмечены</t>
  </si>
  <si>
    <t xml:space="preserve">4 из 5</t>
  </si>
  <si>
    <t xml:space="preserve">Положительная оценка</t>
  </si>
  <si>
    <t xml:space="preserve">Поиск в каталоге затруднён</t>
  </si>
  <si>
    <t xml:space="preserve">Каталог не всегда удобен</t>
  </si>
  <si>
    <t xml:space="preserve">Через электронный каталог</t>
  </si>
  <si>
    <t xml:space="preserve">Используется электронный поиск</t>
  </si>
  <si>
    <t xml:space="preserve">Сделать каталог удобнее.</t>
  </si>
  <si>
    <t xml:space="preserve">Замечание к поиску</t>
  </si>
  <si>
    <t xml:space="preserve">Разместить указатели по разделам.</t>
  </si>
  <si>
    <t xml:space="preserve">Предложение по навигации</t>
  </si>
  <si>
    <t>Р4</t>
  </si>
  <si>
    <t xml:space="preserve">До 5 минут</t>
  </si>
  <si>
    <t xml:space="preserve">Быстрое обслуживание</t>
  </si>
  <si>
    <t xml:space="preserve">Отсутствие книги замечено</t>
  </si>
  <si>
    <t xml:space="preserve">Трудностей нет</t>
  </si>
  <si>
    <t xml:space="preserve">Проблема не отмечена</t>
  </si>
  <si>
    <t xml:space="preserve">Самостоятельно на полках</t>
  </si>
  <si>
    <t xml:space="preserve">Поиск без помощи сотрудника</t>
  </si>
  <si>
    <t xml:space="preserve">Сократить ожидание при регистрации выдачи.</t>
  </si>
  <si>
    <t xml:space="preserve">Предложение по регистрации</t>
  </si>
  <si>
    <t xml:space="preserve">Чётче обозначить места возврата.</t>
  </si>
  <si>
    <t>Р5</t>
  </si>
  <si>
    <t xml:space="preserve">В данном примере книга была доступна</t>
  </si>
  <si>
    <t xml:space="preserve">Отмечено ожидание</t>
  </si>
  <si>
    <t xml:space="preserve">Ускорить запись выдачи в журнал.</t>
  </si>
  <si>
    <t xml:space="preserve">Предложение по оформлению</t>
  </si>
  <si>
    <t xml:space="preserve">Добавить электронный поиск с телефона.</t>
  </si>
  <si>
    <t xml:space="preserve">Предложение по поиску</t>
  </si>
  <si>
    <t>интервью</t>
  </si>
  <si>
    <t>Р6</t>
  </si>
  <si>
    <t xml:space="preserve">Какие основные этапы включает выдача книги?</t>
  </si>
  <si>
    <t xml:space="preserve">Читатель обращается за книгой, сотрудник проверяет каталог и наличие, проверяет читательский билет, находит книгу и регистрирует выдачу.</t>
  </si>
  <si>
    <t xml:space="preserve">Этапы выполняются последовательно</t>
  </si>
  <si>
    <t xml:space="preserve">Какие операции занимают больше всего времени?</t>
  </si>
  <si>
    <t xml:space="preserve">Поиск книги и проверка её наличия, особенно если сведения в каталоге требуют уточнения.</t>
  </si>
  <si>
    <t xml:space="preserve">Возможна задержка поиска</t>
  </si>
  <si>
    <t xml:space="preserve">Какие документы или записи используются при выдаче?</t>
  </si>
  <si>
    <t xml:space="preserve">Читательский билет, каталог и запись о выданной книге в журнале или учётной системе.</t>
  </si>
  <si>
    <t xml:space="preserve">Несколько источников учёта</t>
  </si>
  <si>
    <t xml:space="preserve">Сколько времени обычно занимает обслуживание одного читателя?</t>
  </si>
  <si>
    <t xml:space="preserve">Обычно около 5–10 минут, но при поиске книги или очереди дольше.</t>
  </si>
  <si>
    <t xml:space="preserve">Время зависит от ситуации</t>
  </si>
  <si>
    <t xml:space="preserve">Какие трудности чаще всего возникают в процессе?</t>
  </si>
  <si>
    <t xml:space="preserve">Книги может не быть на месте, а ручная проверка и регистрация замедляют работу.</t>
  </si>
  <si>
    <t xml:space="preserve">Ручные операции и ожидание</t>
  </si>
  <si>
    <t xml:space="preserve">Что можно улучшить в процессе выдачи книг?</t>
  </si>
  <si>
    <t xml:space="preserve">Использовать актуальный электронный каталог и автоматизировать регистрацию выдачи и возврата.</t>
  </si>
  <si>
    <t xml:space="preserve">Возможные направления автоматизации</t>
  </si>
  <si>
    <t xml:space="preserve">Примечание: приведены условные учебные данные.</t>
  </si>
  <si>
    <t xml:space="preserve">Итоги систематизации данных</t>
  </si>
  <si>
    <t xml:space="preserve">Таблицы частот по закрытым вопросам анкеты и диаграмма</t>
  </si>
  <si>
    <t xml:space="preserve">Вопрос 1. Время поиска и выдачи книги</t>
  </si>
  <si>
    <t xml:space="preserve">Вопрос 2. Отсутствие книги на месте</t>
  </si>
  <si>
    <t xml:space="preserve">Вопрос 3. Оценка удобства (1–5)</t>
  </si>
  <si>
    <t xml:space="preserve">Вариант ответа</t>
  </si>
  <si>
    <t>Количество</t>
  </si>
  <si>
    <t xml:space="preserve">1 из 5</t>
  </si>
  <si>
    <t xml:space="preserve">Затрудняюсь ответить</t>
  </si>
  <si>
    <t>—</t>
  </si>
  <si>
    <t>Итого</t>
  </si>
  <si>
    <t xml:space="preserve">5 из 5</t>
  </si>
  <si>
    <t xml:space="preserve">Примечание: подсчёты выполнены по учебному примеру из пяти условных анкет. Формулы COUNTIF (СЧЁТЕСЛИ) подсчитывают количество совпадений в столбце «Ответ» на листе «Данные».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</si>
</sst>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name val="Carlito"/>
    </font>
    <font>
      <b/>
      <sz val="16.000000"/>
      <color rgb="FF1F1F1F"/>
      <name val="Carlito"/>
    </font>
    <font>
      <i/>
      <sz val="10.000000"/>
      <name val="Carlito"/>
    </font>
    <font>
      <b/>
      <sz val="10.000000"/>
      <name val="Carlito"/>
    </font>
    <font>
      <sz val="10.000000"/>
      <name val="Carlito"/>
    </font>
    <font>
      <i/>
      <sz val="10.000000"/>
      <color rgb="FF666666"/>
      <name val="Carlito"/>
    </font>
    <font>
      <b/>
      <sz val="16.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7E6E6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 applyAlignment="1">
      <alignment horizontal="center"/>
    </xf>
    <xf fontId="2" fillId="0" borderId="0" numFmtId="0" xfId="0" applyFont="1"/>
    <xf fontId="3" fillId="3" borderId="0" numFmtId="0" xfId="0" applyFont="1" applyFill="1" applyAlignment="1">
      <alignment wrapText="1"/>
    </xf>
    <xf fontId="4" fillId="0" borderId="0" numFmtId="0" xfId="0" applyFont="1" applyAlignment="1">
      <alignment vertical="center" wrapText="1"/>
    </xf>
    <xf fontId="5" fillId="0" borderId="0" numFmtId="0" xfId="0" applyFont="1" applyAlignment="1">
      <alignment wrapText="1"/>
    </xf>
    <xf fontId="6" fillId="2" borderId="0" numFmtId="0" xfId="0" applyFont="1" applyFill="1" applyAlignment="1">
      <alignment horizontal="center"/>
    </xf>
    <xf fontId="4" fillId="0" borderId="0" numFmtId="0" xfId="0" applyFont="1" applyAlignment="1">
      <alignment wrapText="1"/>
    </xf>
    <xf fontId="3" fillId="0" borderId="0" numFmtId="0" xfId="0" applyFont="1" applyAlignment="1">
      <alignment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Сколько времени занимает поиск и выдача книги?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'Итоги'!$A$6:$A$9</c:f>
              <c:strCache>
                <c:ptCount val="0"/>
              </c:strCache>
            </c:strRef>
          </c:cat>
          <c:val>
            <c:numRef>
              <c:f>'Итоги'!$B$6:$B$9</c:f>
              <c:numCache>
                <c:formatCode>0.0</c:formatCode>
                <c:ptCount val="0"/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  <a:prstGeom prst="rect">
      <a:avLst/>
    </a:prstGeom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14</xdr:row>
      <xdr:rowOff>0</xdr:rowOff>
    </xdr:from>
    <xdr:to>
      <xdr:col>6</xdr:col>
      <xdr:colOff>0</xdr:colOff>
      <xdr:row>31</xdr:row>
      <xdr:rowOff>0</xdr:rowOff>
    </xdr:to>
    <xdr:graphicFrame>
      <xdr:nvGraphicFramePr>
        <xdr:cNvPr id="1" name="Chart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5" topLeftCell="A6" activePane="bottomLeft" state="frozen"/>
      <selection activeCell="A3" activeCellId="0" sqref="A3:F3"/>
    </sheetView>
  </sheetViews>
  <sheetFormatPr defaultRowHeight="14.25"/>
  <cols>
    <col customWidth="1" min="1" max="1" width="8"/>
    <col customWidth="1" min="2" max="2" width="18"/>
    <col customWidth="1" min="3" max="3" width="14"/>
    <col customWidth="1" min="4" max="4" width="42"/>
    <col customWidth="1" min="5" max="5" width="40"/>
    <col customWidth="1" min="6" max="6" width="34"/>
  </cols>
  <sheetData>
    <row r="1" ht="28" customHeight="1">
      <c r="A1" s="1" t="s">
        <v>0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3">
      <c r="A3" s="2" t="s">
        <v>2</v>
      </c>
      <c r="B3" s="2"/>
      <c r="C3" s="2"/>
      <c r="D3" s="2"/>
      <c r="E3" s="2"/>
      <c r="F3" s="2"/>
    </row>
    <row r="5" ht="34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2" customHeight="1">
      <c r="A6" s="4">
        <v>1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</row>
    <row r="7" ht="42" customHeight="1">
      <c r="A7" s="4">
        <v>2</v>
      </c>
      <c r="B7" s="4" t="s">
        <v>9</v>
      </c>
      <c r="C7" s="4" t="s">
        <v>10</v>
      </c>
      <c r="D7" s="4" t="s">
        <v>14</v>
      </c>
      <c r="E7" s="4" t="s">
        <v>15</v>
      </c>
      <c r="F7" s="4" t="s">
        <v>16</v>
      </c>
    </row>
    <row r="8" ht="42" customHeight="1">
      <c r="A8" s="4">
        <v>3</v>
      </c>
      <c r="B8" s="4" t="s">
        <v>9</v>
      </c>
      <c r="C8" s="4" t="s">
        <v>10</v>
      </c>
      <c r="D8" s="4" t="s">
        <v>17</v>
      </c>
      <c r="E8" s="4" t="s">
        <v>18</v>
      </c>
      <c r="F8" s="4" t="s">
        <v>19</v>
      </c>
    </row>
    <row r="9" ht="42" customHeight="1">
      <c r="A9" s="4">
        <v>4</v>
      </c>
      <c r="B9" s="4" t="s">
        <v>9</v>
      </c>
      <c r="C9" s="4" t="s">
        <v>10</v>
      </c>
      <c r="D9" s="4" t="s">
        <v>20</v>
      </c>
      <c r="E9" s="4" t="s">
        <v>21</v>
      </c>
      <c r="F9" s="4" t="s">
        <v>22</v>
      </c>
    </row>
    <row r="10" ht="42" customHeight="1">
      <c r="A10" s="4">
        <v>5</v>
      </c>
      <c r="B10" s="4" t="s">
        <v>9</v>
      </c>
      <c r="C10" s="4" t="s">
        <v>10</v>
      </c>
      <c r="D10" s="4" t="s">
        <v>23</v>
      </c>
      <c r="E10" s="4" t="s">
        <v>24</v>
      </c>
      <c r="F10" s="4" t="s">
        <v>25</v>
      </c>
    </row>
    <row r="11" ht="42" customHeight="1">
      <c r="A11" s="4">
        <v>6</v>
      </c>
      <c r="B11" s="4" t="s">
        <v>9</v>
      </c>
      <c r="C11" s="4" t="s">
        <v>10</v>
      </c>
      <c r="D11" s="4" t="s">
        <v>26</v>
      </c>
      <c r="E11" s="4" t="s">
        <v>27</v>
      </c>
      <c r="F11" s="4" t="s">
        <v>28</v>
      </c>
    </row>
    <row r="12" ht="42" customHeight="1">
      <c r="A12" s="4">
        <v>7</v>
      </c>
      <c r="B12" s="4" t="s">
        <v>9</v>
      </c>
      <c r="C12" s="4" t="s">
        <v>10</v>
      </c>
      <c r="D12" s="4" t="s">
        <v>29</v>
      </c>
      <c r="E12" s="4" t="s">
        <v>30</v>
      </c>
      <c r="F12" s="4" t="s">
        <v>31</v>
      </c>
    </row>
    <row r="13" ht="42" customHeight="1">
      <c r="A13" s="4">
        <v>8</v>
      </c>
      <c r="B13" s="4" t="s">
        <v>9</v>
      </c>
      <c r="C13" s="4" t="s">
        <v>32</v>
      </c>
      <c r="D13" s="4" t="s">
        <v>11</v>
      </c>
      <c r="E13" s="4" t="s">
        <v>33</v>
      </c>
      <c r="F13" s="4" t="s">
        <v>34</v>
      </c>
    </row>
    <row r="14" ht="42" customHeight="1">
      <c r="A14" s="4">
        <v>9</v>
      </c>
      <c r="B14" s="4" t="s">
        <v>9</v>
      </c>
      <c r="C14" s="4" t="s">
        <v>32</v>
      </c>
      <c r="D14" s="4" t="s">
        <v>14</v>
      </c>
      <c r="E14" s="4" t="s">
        <v>15</v>
      </c>
      <c r="F14" s="4" t="s">
        <v>35</v>
      </c>
    </row>
    <row r="15" ht="42" customHeight="1">
      <c r="A15" s="4">
        <v>10</v>
      </c>
      <c r="B15" s="4" t="s">
        <v>9</v>
      </c>
      <c r="C15" s="4" t="s">
        <v>32</v>
      </c>
      <c r="D15" s="4" t="s">
        <v>17</v>
      </c>
      <c r="E15" s="4" t="s">
        <v>36</v>
      </c>
      <c r="F15" s="4" t="s">
        <v>37</v>
      </c>
    </row>
    <row r="16" ht="42" customHeight="1">
      <c r="A16" s="4">
        <v>11</v>
      </c>
      <c r="B16" s="4" t="s">
        <v>9</v>
      </c>
      <c r="C16" s="4" t="s">
        <v>32</v>
      </c>
      <c r="D16" s="4" t="s">
        <v>20</v>
      </c>
      <c r="E16" s="4" t="s">
        <v>38</v>
      </c>
      <c r="F16" s="4" t="s">
        <v>39</v>
      </c>
    </row>
    <row r="17" ht="42" customHeight="1">
      <c r="A17" s="4">
        <v>12</v>
      </c>
      <c r="B17" s="4" t="s">
        <v>9</v>
      </c>
      <c r="C17" s="4" t="s">
        <v>32</v>
      </c>
      <c r="D17" s="4" t="s">
        <v>23</v>
      </c>
      <c r="E17" s="4" t="s">
        <v>40</v>
      </c>
      <c r="F17" s="4" t="s">
        <v>41</v>
      </c>
    </row>
    <row r="18" ht="42" customHeight="1">
      <c r="A18" s="4">
        <v>13</v>
      </c>
      <c r="B18" s="4" t="s">
        <v>9</v>
      </c>
      <c r="C18" s="4" t="s">
        <v>32</v>
      </c>
      <c r="D18" s="4" t="s">
        <v>26</v>
      </c>
      <c r="E18" s="4" t="s">
        <v>42</v>
      </c>
      <c r="F18" s="4" t="s">
        <v>43</v>
      </c>
    </row>
    <row r="19" ht="42" customHeight="1">
      <c r="A19" s="4">
        <v>14</v>
      </c>
      <c r="B19" s="4" t="s">
        <v>9</v>
      </c>
      <c r="C19" s="4" t="s">
        <v>32</v>
      </c>
      <c r="D19" s="4" t="s">
        <v>29</v>
      </c>
      <c r="E19" s="4" t="s">
        <v>44</v>
      </c>
      <c r="F19" s="4" t="s">
        <v>45</v>
      </c>
    </row>
    <row r="20" ht="42" customHeight="1">
      <c r="A20" s="4">
        <v>15</v>
      </c>
      <c r="B20" s="4" t="s">
        <v>9</v>
      </c>
      <c r="C20" s="4" t="s">
        <v>46</v>
      </c>
      <c r="D20" s="4" t="s">
        <v>11</v>
      </c>
      <c r="E20" s="4" t="s">
        <v>12</v>
      </c>
      <c r="F20" s="4" t="s">
        <v>47</v>
      </c>
    </row>
    <row r="21" ht="42" customHeight="1">
      <c r="A21" s="4">
        <v>16</v>
      </c>
      <c r="B21" s="4" t="s">
        <v>9</v>
      </c>
      <c r="C21" s="4" t="s">
        <v>46</v>
      </c>
      <c r="D21" s="4" t="s">
        <v>14</v>
      </c>
      <c r="E21" s="4" t="s">
        <v>48</v>
      </c>
      <c r="F21" s="4" t="s">
        <v>49</v>
      </c>
    </row>
    <row r="22" ht="42" customHeight="1">
      <c r="A22" s="4">
        <v>17</v>
      </c>
      <c r="B22" s="4" t="s">
        <v>9</v>
      </c>
      <c r="C22" s="4" t="s">
        <v>46</v>
      </c>
      <c r="D22" s="4" t="s">
        <v>17</v>
      </c>
      <c r="E22" s="4" t="s">
        <v>50</v>
      </c>
      <c r="F22" s="4" t="s">
        <v>51</v>
      </c>
    </row>
    <row r="23" ht="42" customHeight="1">
      <c r="A23" s="4">
        <v>18</v>
      </c>
      <c r="B23" s="4" t="s">
        <v>9</v>
      </c>
      <c r="C23" s="4" t="s">
        <v>46</v>
      </c>
      <c r="D23" s="4" t="s">
        <v>20</v>
      </c>
      <c r="E23" s="4" t="s">
        <v>52</v>
      </c>
      <c r="F23" s="4" t="s">
        <v>53</v>
      </c>
    </row>
    <row r="24" ht="42" customHeight="1">
      <c r="A24" s="4">
        <v>19</v>
      </c>
      <c r="B24" s="4" t="s">
        <v>9</v>
      </c>
      <c r="C24" s="4" t="s">
        <v>46</v>
      </c>
      <c r="D24" s="4" t="s">
        <v>23</v>
      </c>
      <c r="E24" s="4" t="s">
        <v>54</v>
      </c>
      <c r="F24" s="4" t="s">
        <v>55</v>
      </c>
    </row>
    <row r="25" ht="42" customHeight="1">
      <c r="A25" s="4">
        <v>20</v>
      </c>
      <c r="B25" s="4" t="s">
        <v>9</v>
      </c>
      <c r="C25" s="4" t="s">
        <v>46</v>
      </c>
      <c r="D25" s="4" t="s">
        <v>26</v>
      </c>
      <c r="E25" s="4" t="s">
        <v>56</v>
      </c>
      <c r="F25" s="4" t="s">
        <v>57</v>
      </c>
    </row>
    <row r="26" ht="42" customHeight="1">
      <c r="A26" s="4">
        <v>21</v>
      </c>
      <c r="B26" s="4" t="s">
        <v>9</v>
      </c>
      <c r="C26" s="4" t="s">
        <v>46</v>
      </c>
      <c r="D26" s="4" t="s">
        <v>29</v>
      </c>
      <c r="E26" s="4" t="s">
        <v>58</v>
      </c>
      <c r="F26" s="4" t="s">
        <v>59</v>
      </c>
    </row>
    <row r="27" ht="42" customHeight="1">
      <c r="A27" s="4">
        <v>22</v>
      </c>
      <c r="B27" s="4" t="s">
        <v>9</v>
      </c>
      <c r="C27" s="4" t="s">
        <v>60</v>
      </c>
      <c r="D27" s="4" t="s">
        <v>11</v>
      </c>
      <c r="E27" s="4" t="s">
        <v>61</v>
      </c>
      <c r="F27" s="4" t="s">
        <v>62</v>
      </c>
    </row>
    <row r="28" ht="42" customHeight="1">
      <c r="A28" s="4">
        <v>23</v>
      </c>
      <c r="B28" s="4" t="s">
        <v>9</v>
      </c>
      <c r="C28" s="4" t="s">
        <v>60</v>
      </c>
      <c r="D28" s="4" t="s">
        <v>14</v>
      </c>
      <c r="E28" s="4" t="s">
        <v>15</v>
      </c>
      <c r="F28" s="4" t="s">
        <v>63</v>
      </c>
    </row>
    <row r="29" ht="42" customHeight="1">
      <c r="A29" s="4">
        <v>24</v>
      </c>
      <c r="B29" s="4" t="s">
        <v>9</v>
      </c>
      <c r="C29" s="4" t="s">
        <v>60</v>
      </c>
      <c r="D29" s="4" t="s">
        <v>17</v>
      </c>
      <c r="E29" s="4" t="s">
        <v>50</v>
      </c>
      <c r="F29" s="4" t="s">
        <v>51</v>
      </c>
    </row>
    <row r="30" ht="42" customHeight="1">
      <c r="A30" s="4">
        <v>25</v>
      </c>
      <c r="B30" s="4" t="s">
        <v>9</v>
      </c>
      <c r="C30" s="4" t="s">
        <v>60</v>
      </c>
      <c r="D30" s="4" t="s">
        <v>20</v>
      </c>
      <c r="E30" s="4" t="s">
        <v>64</v>
      </c>
      <c r="F30" s="4" t="s">
        <v>65</v>
      </c>
    </row>
    <row r="31" ht="42" customHeight="1">
      <c r="A31" s="4">
        <v>26</v>
      </c>
      <c r="B31" s="4" t="s">
        <v>9</v>
      </c>
      <c r="C31" s="4" t="s">
        <v>60</v>
      </c>
      <c r="D31" s="4" t="s">
        <v>23</v>
      </c>
      <c r="E31" s="4" t="s">
        <v>66</v>
      </c>
      <c r="F31" s="4" t="s">
        <v>67</v>
      </c>
    </row>
    <row r="32" ht="42" customHeight="1">
      <c r="A32" s="4">
        <v>27</v>
      </c>
      <c r="B32" s="4" t="s">
        <v>9</v>
      </c>
      <c r="C32" s="4" t="s">
        <v>60</v>
      </c>
      <c r="D32" s="4" t="s">
        <v>26</v>
      </c>
      <c r="E32" s="4" t="s">
        <v>68</v>
      </c>
      <c r="F32" s="4" t="s">
        <v>69</v>
      </c>
    </row>
    <row r="33" ht="42" customHeight="1">
      <c r="A33" s="4">
        <v>28</v>
      </c>
      <c r="B33" s="4" t="s">
        <v>9</v>
      </c>
      <c r="C33" s="4" t="s">
        <v>60</v>
      </c>
      <c r="D33" s="4" t="s">
        <v>29</v>
      </c>
      <c r="E33" s="4" t="s">
        <v>70</v>
      </c>
      <c r="F33" s="4" t="s">
        <v>59</v>
      </c>
    </row>
    <row r="34" ht="42" customHeight="1">
      <c r="A34" s="4">
        <v>29</v>
      </c>
      <c r="B34" s="4" t="s">
        <v>9</v>
      </c>
      <c r="C34" s="4" t="s">
        <v>71</v>
      </c>
      <c r="D34" s="4" t="s">
        <v>11</v>
      </c>
      <c r="E34" s="4" t="s">
        <v>12</v>
      </c>
      <c r="F34" s="4" t="s">
        <v>13</v>
      </c>
    </row>
    <row r="35" ht="42" customHeight="1">
      <c r="A35" s="4">
        <v>30</v>
      </c>
      <c r="B35" s="4" t="s">
        <v>9</v>
      </c>
      <c r="C35" s="4" t="s">
        <v>71</v>
      </c>
      <c r="D35" s="4" t="s">
        <v>14</v>
      </c>
      <c r="E35" s="4" t="s">
        <v>48</v>
      </c>
      <c r="F35" s="4" t="s">
        <v>72</v>
      </c>
    </row>
    <row r="36" ht="42" customHeight="1">
      <c r="A36" s="4">
        <v>31</v>
      </c>
      <c r="B36" s="4" t="s">
        <v>9</v>
      </c>
      <c r="C36" s="4" t="s">
        <v>71</v>
      </c>
      <c r="D36" s="4" t="s">
        <v>17</v>
      </c>
      <c r="E36" s="4" t="s">
        <v>18</v>
      </c>
      <c r="F36" s="4" t="s">
        <v>19</v>
      </c>
    </row>
    <row r="37" ht="42" customHeight="1">
      <c r="A37" s="4">
        <v>32</v>
      </c>
      <c r="B37" s="4" t="s">
        <v>9</v>
      </c>
      <c r="C37" s="4" t="s">
        <v>71</v>
      </c>
      <c r="D37" s="4" t="s">
        <v>20</v>
      </c>
      <c r="E37" s="4" t="s">
        <v>21</v>
      </c>
      <c r="F37" s="4" t="s">
        <v>73</v>
      </c>
    </row>
    <row r="38" ht="42" customHeight="1">
      <c r="A38" s="4">
        <v>33</v>
      </c>
      <c r="B38" s="4" t="s">
        <v>9</v>
      </c>
      <c r="C38" s="4" t="s">
        <v>71</v>
      </c>
      <c r="D38" s="4" t="s">
        <v>23</v>
      </c>
      <c r="E38" s="4" t="s">
        <v>54</v>
      </c>
      <c r="F38" s="4" t="s">
        <v>55</v>
      </c>
    </row>
    <row r="39" ht="42" customHeight="1">
      <c r="A39" s="4">
        <v>34</v>
      </c>
      <c r="B39" s="4" t="s">
        <v>9</v>
      </c>
      <c r="C39" s="4" t="s">
        <v>71</v>
      </c>
      <c r="D39" s="4" t="s">
        <v>26</v>
      </c>
      <c r="E39" s="4" t="s">
        <v>74</v>
      </c>
      <c r="F39" s="4" t="s">
        <v>75</v>
      </c>
    </row>
    <row r="40" ht="42" customHeight="1">
      <c r="A40" s="4">
        <v>35</v>
      </c>
      <c r="B40" s="4" t="s">
        <v>9</v>
      </c>
      <c r="C40" s="4" t="s">
        <v>71</v>
      </c>
      <c r="D40" s="4" t="s">
        <v>29</v>
      </c>
      <c r="E40" s="4" t="s">
        <v>76</v>
      </c>
      <c r="F40" s="4" t="s">
        <v>77</v>
      </c>
    </row>
    <row r="41" ht="54">
      <c r="A41" s="4">
        <v>36</v>
      </c>
      <c r="B41" s="4" t="s">
        <v>78</v>
      </c>
      <c r="C41" s="4" t="s">
        <v>79</v>
      </c>
      <c r="D41" s="4" t="s">
        <v>80</v>
      </c>
      <c r="E41" s="4" t="s">
        <v>81</v>
      </c>
      <c r="F41" s="4" t="s">
        <v>82</v>
      </c>
    </row>
    <row r="42" ht="42" customHeight="1">
      <c r="A42" s="4">
        <v>37</v>
      </c>
      <c r="B42" s="4" t="s">
        <v>78</v>
      </c>
      <c r="C42" s="4" t="s">
        <v>79</v>
      </c>
      <c r="D42" s="4" t="s">
        <v>83</v>
      </c>
      <c r="E42" s="4" t="s">
        <v>84</v>
      </c>
      <c r="F42" s="4" t="s">
        <v>85</v>
      </c>
    </row>
    <row r="43" ht="40.5">
      <c r="A43" s="4">
        <v>38</v>
      </c>
      <c r="B43" s="4" t="s">
        <v>78</v>
      </c>
      <c r="C43" s="4" t="s">
        <v>79</v>
      </c>
      <c r="D43" s="4" t="s">
        <v>86</v>
      </c>
      <c r="E43" s="4" t="s">
        <v>87</v>
      </c>
      <c r="F43" s="4" t="s">
        <v>88</v>
      </c>
    </row>
    <row r="44" ht="42" customHeight="1">
      <c r="A44" s="4">
        <v>39</v>
      </c>
      <c r="B44" s="4" t="s">
        <v>78</v>
      </c>
      <c r="C44" s="4" t="s">
        <v>79</v>
      </c>
      <c r="D44" s="4" t="s">
        <v>89</v>
      </c>
      <c r="E44" s="4" t="s">
        <v>90</v>
      </c>
      <c r="F44" s="4" t="s">
        <v>91</v>
      </c>
    </row>
    <row r="45" ht="42" customHeight="1">
      <c r="A45" s="4">
        <v>40</v>
      </c>
      <c r="B45" s="4" t="s">
        <v>78</v>
      </c>
      <c r="C45" s="4" t="s">
        <v>79</v>
      </c>
      <c r="D45" s="4" t="s">
        <v>92</v>
      </c>
      <c r="E45" s="4" t="s">
        <v>93</v>
      </c>
      <c r="F45" s="4" t="s">
        <v>94</v>
      </c>
    </row>
    <row r="46" ht="40.5">
      <c r="A46" s="4">
        <v>41</v>
      </c>
      <c r="B46" s="4" t="s">
        <v>78</v>
      </c>
      <c r="C46" s="4" t="s">
        <v>79</v>
      </c>
      <c r="D46" s="4" t="s">
        <v>95</v>
      </c>
      <c r="E46" s="4" t="s">
        <v>96</v>
      </c>
      <c r="F46" s="4" t="s">
        <v>97</v>
      </c>
    </row>
    <row r="48" ht="30" customHeight="1">
      <c r="A48" s="5" t="s">
        <v>98</v>
      </c>
      <c r="B48" s="5"/>
      <c r="C48" s="5"/>
      <c r="D48" s="5"/>
      <c r="E48" s="5"/>
      <c r="F48" s="5"/>
    </row>
  </sheetData>
  <mergeCells count="4">
    <mergeCell ref="A1:F1"/>
    <mergeCell ref="A2:F2"/>
    <mergeCell ref="A3:F3"/>
    <mergeCell ref="A48:F4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5"/>
    <col customWidth="1" min="2" max="2" width="12"/>
    <col customWidth="1" min="3" max="3" width="3"/>
    <col customWidth="1" min="4" max="4" width="27"/>
    <col customWidth="1" min="5" max="5" width="12"/>
    <col customWidth="1" min="6" max="6" width="3"/>
    <col customWidth="1" min="7" max="7" width="22"/>
    <col customWidth="1" min="8" max="8" width="12"/>
    <col customWidth="1" min="9" max="9" width="3"/>
  </cols>
  <sheetData>
    <row r="1">
      <c r="A1" s="6" t="s">
        <v>99</v>
      </c>
      <c r="B1" s="6"/>
      <c r="C1" s="6"/>
      <c r="D1" s="6"/>
      <c r="E1" s="6"/>
      <c r="F1" s="6"/>
      <c r="G1" s="6"/>
      <c r="H1" s="6"/>
      <c r="I1" s="6"/>
    </row>
    <row r="2">
      <c r="A2" s="2" t="s">
        <v>100</v>
      </c>
      <c r="B2" s="2"/>
      <c r="C2" s="2"/>
      <c r="D2" s="2"/>
      <c r="E2" s="2"/>
      <c r="F2" s="2"/>
      <c r="G2" s="2"/>
      <c r="H2" s="2"/>
      <c r="I2" s="2"/>
    </row>
    <row r="4" ht="34" customHeight="1">
      <c r="A4" s="3" t="s">
        <v>101</v>
      </c>
      <c r="B4" s="3"/>
      <c r="C4" s="3"/>
      <c r="D4" s="3" t="s">
        <v>102</v>
      </c>
      <c r="E4" s="3"/>
      <c r="F4" s="3"/>
      <c r="G4" s="3" t="s">
        <v>103</v>
      </c>
      <c r="H4" s="3"/>
    </row>
    <row r="5" ht="28" customHeight="1">
      <c r="A5" s="3" t="s">
        <v>104</v>
      </c>
      <c r="B5" s="3" t="s">
        <v>105</v>
      </c>
      <c r="C5" s="3"/>
      <c r="D5" s="3" t="s">
        <v>104</v>
      </c>
      <c r="E5" s="3" t="s">
        <v>105</v>
      </c>
      <c r="F5" s="3"/>
      <c r="G5" s="3" t="s">
        <v>104</v>
      </c>
      <c r="H5" s="3" t="s">
        <v>105</v>
      </c>
    </row>
    <row r="6">
      <c r="A6" s="7" t="s">
        <v>61</v>
      </c>
      <c r="B6" s="7">
        <f>COUNTIF(Данные!$E$6:$E$46,A6)</f>
        <v>1</v>
      </c>
      <c r="C6" s="7"/>
      <c r="D6" s="7" t="s">
        <v>15</v>
      </c>
      <c r="E6" s="7">
        <f>COUNTIF(Данные!$E$6:$E$46,D6)</f>
        <v>3</v>
      </c>
      <c r="F6" s="7"/>
      <c r="G6" s="7" t="s">
        <v>106</v>
      </c>
      <c r="H6" s="7">
        <f>COUNTIF(Данные!$E$6:$E$46,G6)</f>
        <v>0</v>
      </c>
    </row>
    <row r="7">
      <c r="A7" s="7" t="s">
        <v>12</v>
      </c>
      <c r="B7" s="7">
        <f>COUNTIF('Данные'!$E$6:$E$46,A7)</f>
        <v>3</v>
      </c>
      <c r="C7" s="7"/>
      <c r="D7" s="7" t="s">
        <v>48</v>
      </c>
      <c r="E7" s="7">
        <f>COUNTIF('Данные'!$E$6:$E$46,D7)</f>
        <v>2</v>
      </c>
      <c r="F7" s="7"/>
      <c r="G7" s="7" t="s">
        <v>36</v>
      </c>
      <c r="H7" s="7">
        <f>COUNTIF('Данные'!$E$6:$E$46,G7)</f>
        <v>1</v>
      </c>
    </row>
    <row r="8">
      <c r="A8" s="7" t="s">
        <v>33</v>
      </c>
      <c r="B8" s="7">
        <f>COUNTIF('Данные'!$E$6:$E$46,A8)</f>
        <v>1</v>
      </c>
      <c r="C8" s="7"/>
      <c r="D8" s="7" t="s">
        <v>107</v>
      </c>
      <c r="E8" s="7">
        <f>COUNTIF('Данные'!$E$6:$E$46,D8)</f>
        <v>0</v>
      </c>
      <c r="F8" s="7"/>
      <c r="G8" s="7" t="s">
        <v>18</v>
      </c>
      <c r="H8" s="7">
        <f>COUNTIF('Данные'!$E$6:$E$46,G8)</f>
        <v>2</v>
      </c>
    </row>
    <row r="9">
      <c r="A9" s="7" t="s">
        <v>107</v>
      </c>
      <c r="B9" s="7">
        <f>COUNTIF('Данные'!$E$6:$E$46,A9)</f>
        <v>0</v>
      </c>
      <c r="C9" s="7"/>
      <c r="D9" s="7" t="s">
        <v>108</v>
      </c>
      <c r="E9" s="7">
        <f>COUNTIF('Данные'!$E$6:$E$46,D9)</f>
        <v>0</v>
      </c>
      <c r="F9" s="7"/>
      <c r="G9" s="7" t="s">
        <v>50</v>
      </c>
      <c r="H9" s="7">
        <f>COUNTIF('Данные'!$E$6:$E$46,G9)</f>
        <v>2</v>
      </c>
    </row>
    <row r="10">
      <c r="A10" s="8" t="s">
        <v>109</v>
      </c>
      <c r="B10" s="8">
        <f>SUM(B6:B9)</f>
        <v>5</v>
      </c>
      <c r="C10" s="7"/>
      <c r="D10" s="8" t="s">
        <v>109</v>
      </c>
      <c r="E10" s="8">
        <f>SUM(E6:E9)</f>
        <v>5</v>
      </c>
      <c r="F10" s="7"/>
      <c r="G10" s="7" t="s">
        <v>110</v>
      </c>
      <c r="H10" s="7">
        <f>COUNTIF(Данные!$E$6:$E$46,G10)</f>
        <v>0</v>
      </c>
    </row>
    <row r="11">
      <c r="A11" s="7"/>
      <c r="B11" s="7"/>
      <c r="C11" s="7"/>
      <c r="D11" s="7"/>
      <c r="E11" s="7"/>
      <c r="F11" s="7"/>
      <c r="G11" s="8" t="s">
        <v>109</v>
      </c>
      <c r="H11" s="8">
        <f>SUM(H6:H10)</f>
        <v>5</v>
      </c>
    </row>
    <row r="12" ht="25" customHeight="1">
      <c r="A12" s="5" t="s">
        <v>111</v>
      </c>
      <c r="B12" s="5"/>
      <c r="C12" s="5"/>
      <c r="D12" s="5"/>
      <c r="E12" s="5"/>
      <c r="F12" s="5"/>
      <c r="G12" s="5"/>
      <c r="H12" s="5"/>
      <c r="I12" s="5"/>
    </row>
    <row r="13" ht="25" customHeight="1">
      <c r="A13" s="5"/>
      <c r="B13" s="5"/>
      <c r="C13" s="5"/>
      <c r="D13" s="5"/>
      <c r="E13" s="5"/>
      <c r="F13" s="5"/>
      <c r="G13" s="5"/>
      <c r="H13" s="5"/>
      <c r="I13" s="5"/>
    </row>
  </sheetData>
  <mergeCells count="6">
    <mergeCell ref="A1:I1"/>
    <mergeCell ref="A2:I2"/>
    <mergeCell ref="A4:B4"/>
    <mergeCell ref="D4:E4"/>
    <mergeCell ref="G4:H4"/>
    <mergeCell ref="A12:I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